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am-my.sharepoint.com/personal/kp_amu_edu_pl/Documents/nauka/2025_PNUW/PNUW_informacja_OME_2025/"/>
    </mc:Choice>
  </mc:AlternateContent>
  <xr:revisionPtr revIDLastSave="88" documentId="8_{F9142267-69C5-4B5B-AD6F-4F4BC58AF8DF}" xr6:coauthVersionLast="47" xr6:coauthVersionMax="47" xr10:uidLastSave="{1DD65F84-060A-4663-996C-444457310FFC}"/>
  <bookViews>
    <workbookView xWindow="-19280" yWindow="-80" windowWidth="19360" windowHeight="10240" xr2:uid="{00000000-000D-0000-FFFF-FFFF00000000}"/>
  </bookViews>
  <sheets>
    <sheet name="short_colname_data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1" i="1" l="1"/>
  <c r="AF251" i="1"/>
  <c r="AE251" i="1"/>
  <c r="AD251" i="1"/>
  <c r="AC251" i="1"/>
  <c r="AB251" i="1"/>
  <c r="AA251" i="1"/>
  <c r="Z251" i="1"/>
  <c r="AG252" i="1"/>
  <c r="AF252" i="1"/>
  <c r="AE252" i="1"/>
  <c r="AD252" i="1"/>
  <c r="AC252" i="1"/>
  <c r="AB252" i="1"/>
  <c r="AA252" i="1"/>
  <c r="Z252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</calcChain>
</file>

<file path=xl/sharedStrings.xml><?xml version="1.0" encoding="utf-8"?>
<sst xmlns="http://schemas.openxmlformats.org/spreadsheetml/2006/main" count="4772" uniqueCount="746">
  <si>
    <t>Id</t>
  </si>
  <si>
    <t>Start time</t>
  </si>
  <si>
    <t>Completion time</t>
  </si>
  <si>
    <t>Email</t>
  </si>
  <si>
    <t>Name</t>
  </si>
  <si>
    <t>ID Ankiety</t>
  </si>
  <si>
    <t>Miejsce ankietowania</t>
  </si>
  <si>
    <t>Data wypełnienia ankiety</t>
  </si>
  <si>
    <t>Ankieter</t>
  </si>
  <si>
    <t xml:space="preserve">Który raz odwiedza Pan/Pani Park Narodowy „Ujście Warty”? </t>
  </si>
  <si>
    <t xml:space="preserve">Co jest głównym powodem odwiedzin Parku Narodowego „Ujście Warty”? </t>
  </si>
  <si>
    <t xml:space="preserve">Czy infrastruktura turystyczna Parku Narodowego „Ujście Warty” jest </t>
  </si>
  <si>
    <t>Elementy - schroniska</t>
  </si>
  <si>
    <t>Elementy - szlaki piesze</t>
  </si>
  <si>
    <t>Elementy - ścieżki dydaktyczne</t>
  </si>
  <si>
    <t>Elementy - szlaki rowerowe</t>
  </si>
  <si>
    <t>Elementy - szlaki konne</t>
  </si>
  <si>
    <t>Elementy - punkty widokowe (wieże obserwacyjne)</t>
  </si>
  <si>
    <t>Elementy - parkingi</t>
  </si>
  <si>
    <t>Elementy - Kosze na śmieci</t>
  </si>
  <si>
    <t>Elementy - Toalety</t>
  </si>
  <si>
    <t>Elementy - gastronomia</t>
  </si>
  <si>
    <t>Elementy - tablice informacyjne</t>
  </si>
  <si>
    <t>Elementy - wiaty (miejsca odpoczynku)</t>
  </si>
  <si>
    <t>Ocena w PNUW - szlaki piesze</t>
  </si>
  <si>
    <t>Ocena w PNUW - ścieżki dydaktyczne</t>
  </si>
  <si>
    <t>Ocena w PNUW - szlaki rowerowe</t>
  </si>
  <si>
    <t>Ocena w PNUW - punkty widokowe</t>
  </si>
  <si>
    <t>Ocena w PNUW - parkingi</t>
  </si>
  <si>
    <t>Ocena w PNUW - kosze na śmieci</t>
  </si>
  <si>
    <t>Ocena w PNUW - tablice informacyjne</t>
  </si>
  <si>
    <t>Ocena w PNUW - wiaty (miejsca odpoczynku)</t>
  </si>
  <si>
    <t>6) Co należałoby zmienić w infrastrukturze turystycznej Parku Narodowego „Ujście Warty”?</t>
  </si>
  <si>
    <t xml:space="preserve">7) Kiedy podjął Pan decyzję o przejściu tego konkretnego szlaku, na którym obecnie się znajdujemy? </t>
  </si>
  <si>
    <t>8) Czy odwiedził Pan Ośrodek Muzealno-Edukacyjny w Słońsku (OME)?</t>
  </si>
  <si>
    <t>9) Czy prosił Pan / prosiła Pani pracowników OME w Słońsku o udzielenie informacji turystycznej dotyczącej Parku Narodowego „Ujście Warty”?</t>
  </si>
  <si>
    <t>Pracownicy OME - W jakim zakresie</t>
  </si>
  <si>
    <t xml:space="preserve">Czy podczas rozmowy z pracownikami OME w Słońsku coś zaciekawiło Pana / Panią tak bardzo, że zmodyfikował Pan / zmodyfikowała Pani swój plan zwiedzania Parku? </t>
  </si>
  <si>
    <t>Jeśli TAK to co to było?</t>
  </si>
  <si>
    <t xml:space="preserve">10) Czy podczas zwiedzania wystawy w OME w Słońsku znalazł Pan / znalazła Pani tam informacje turystyczne dotyczące Parku Narodowego „Ujście Warty”? </t>
  </si>
  <si>
    <t>Wystawa - W jakim zakresie</t>
  </si>
  <si>
    <t xml:space="preserve">Czy podczas zwiedzania wystawy  OME w Słońsku coś zaciekawiło tak bardzo, że zmodyfikował Pan swój plan zwiedzania Parku? </t>
  </si>
  <si>
    <t>Jeśli TAK to co to było?1</t>
  </si>
  <si>
    <t>Płeć</t>
  </si>
  <si>
    <t>Wykształcenie</t>
  </si>
  <si>
    <t>Wiek</t>
  </si>
  <si>
    <t>Miejscowość zamieszkania</t>
  </si>
  <si>
    <t>Powiat zamieszkania</t>
  </si>
  <si>
    <t>Komentarz ankietera do kwestionariusza</t>
  </si>
  <si>
    <t>maz@amu.edu.pl</t>
  </si>
  <si>
    <t>Maciej Mazurczak</t>
  </si>
  <si>
    <t>001</t>
  </si>
  <si>
    <t>Most Wysokińskiego (Betonka)</t>
  </si>
  <si>
    <t>Option 1</t>
  </si>
  <si>
    <t>trzeci lub więcej</t>
  </si>
  <si>
    <t>Odpoczynek</t>
  </si>
  <si>
    <t>Optymalna</t>
  </si>
  <si>
    <t>więcej tablic informacyjnych, lepsze drogi, unowocześnienie miejsca (gry, rozrywka na temat parku, ptactwa)</t>
  </si>
  <si>
    <t>Po wizycie na wystawie OME</t>
  </si>
  <si>
    <t>Tak</t>
  </si>
  <si>
    <t>Nie</t>
  </si>
  <si>
    <t>nie zmieniłem planów</t>
  </si>
  <si>
    <t>o otwartych szlakach/ścieżkach;o miejscach wartych odwiedzenia;o możliwych sposobach poruszania się po Parku;o możliwych do zaobserwowania zwierzętach;</t>
  </si>
  <si>
    <t>Kobieta</t>
  </si>
  <si>
    <t>średnie</t>
  </si>
  <si>
    <t>18-30</t>
  </si>
  <si>
    <t>Witnica</t>
  </si>
  <si>
    <t>gorzowski</t>
  </si>
  <si>
    <t>002</t>
  </si>
  <si>
    <t>drugi</t>
  </si>
  <si>
    <t>Nie mam zdania</t>
  </si>
  <si>
    <t>lepsze informacje i oznaczenia</t>
  </si>
  <si>
    <t>Będąc już na miejscu</t>
  </si>
  <si>
    <t>wyższe</t>
  </si>
  <si>
    <t>41-50</t>
  </si>
  <si>
    <t>Czarnów</t>
  </si>
  <si>
    <t>słubicki</t>
  </si>
  <si>
    <t>003</t>
  </si>
  <si>
    <t>Obserwacja przyrody</t>
  </si>
  <si>
    <t>więcej tablic informacyjnych</t>
  </si>
  <si>
    <t>Nie planowałem, to spontaniczna decyzja</t>
  </si>
  <si>
    <t>Mężczyzna</t>
  </si>
  <si>
    <t>51-60</t>
  </si>
  <si>
    <t>Kostrzyn nad Odrą</t>
  </si>
  <si>
    <t>004</t>
  </si>
  <si>
    <t>pierwszy</t>
  </si>
  <si>
    <t>Zbyt uboga i powinna być rozbudowana</t>
  </si>
  <si>
    <t>więcej tablic informacyjnych, ścieżek dydaktycznych</t>
  </si>
  <si>
    <t>Przed przyjazdem</t>
  </si>
  <si>
    <t>o możliwych do zaobserwowania zwierzętach;</t>
  </si>
  <si>
    <t>Cybinka</t>
  </si>
  <si>
    <t>005</t>
  </si>
  <si>
    <t>więcej znaków informacyjnych</t>
  </si>
  <si>
    <t>o otwartych szlakach/ścieżkach;</t>
  </si>
  <si>
    <t>o otwartych szlakach/ścieżkach;o dostępności terenu;o możliwych do zaobserwowania zwierzętach;o sposobie dotarcia do konkretnego miejsca;</t>
  </si>
  <si>
    <t>Poznań</t>
  </si>
  <si>
    <t>poznański</t>
  </si>
  <si>
    <t>006</t>
  </si>
  <si>
    <t>o dostępności terenu;</t>
  </si>
  <si>
    <t>powyżej 60</t>
  </si>
  <si>
    <t>Świebodzin</t>
  </si>
  <si>
    <t>świebodziński</t>
  </si>
  <si>
    <t>007</t>
  </si>
  <si>
    <t>Bliskość miejsca zamieszkania</t>
  </si>
  <si>
    <t>lepsze drogi dojazdowe do szlaków</t>
  </si>
  <si>
    <t>008</t>
  </si>
  <si>
    <t>nie mam zdania</t>
  </si>
  <si>
    <t>009</t>
  </si>
  <si>
    <t>zawodowe</t>
  </si>
  <si>
    <t>010</t>
  </si>
  <si>
    <t>więcej ścieżek dydaktycznych oraz punktów informacyjnych</t>
  </si>
  <si>
    <t>nie miałem planów</t>
  </si>
  <si>
    <t>Górzyca</t>
  </si>
  <si>
    <t>011</t>
  </si>
  <si>
    <t>Słońsk</t>
  </si>
  <si>
    <t>sulęciński</t>
  </si>
  <si>
    <t>012</t>
  </si>
  <si>
    <t>nic</t>
  </si>
  <si>
    <t>o miejscach wartych odwiedzenia;</t>
  </si>
  <si>
    <t>o możliwych sposobach poruszania się po Parku;</t>
  </si>
  <si>
    <t>013</t>
  </si>
  <si>
    <t>stworzyć ścieżkę rowerową z Kostrzyna do Słońska</t>
  </si>
  <si>
    <t>014</t>
  </si>
  <si>
    <t>więcej ścieżek rowerowych</t>
  </si>
  <si>
    <t>o otwartych szlakach/ścieżkach;o możliwych do zaobserwowania zwierzętach;</t>
  </si>
  <si>
    <t>31-40</t>
  </si>
  <si>
    <t>015</t>
  </si>
  <si>
    <t>punkty widokowe i szlaki rowerowe</t>
  </si>
  <si>
    <t>016</t>
  </si>
  <si>
    <t>Jelenia Góra</t>
  </si>
  <si>
    <t>jeleniogórski</t>
  </si>
  <si>
    <t>017</t>
  </si>
  <si>
    <t>Olszynki</t>
  </si>
  <si>
    <t>więcej punktów widokowych</t>
  </si>
  <si>
    <t>Dębno</t>
  </si>
  <si>
    <t>myśliborski</t>
  </si>
  <si>
    <t>018</t>
  </si>
  <si>
    <t>lepsze drogi dojazdowe do parkingów</t>
  </si>
  <si>
    <t>o miejscach wartych odwiedzenia;o możliwych do zaobserwowania zwierzętach;o sposobie dotarcia do konkretnego miejsca;</t>
  </si>
  <si>
    <t>019</t>
  </si>
  <si>
    <t>lepsze ścieżki</t>
  </si>
  <si>
    <t>020</t>
  </si>
  <si>
    <t>podstawowe</t>
  </si>
  <si>
    <t>021</t>
  </si>
  <si>
    <t>Gorzów Wlkp.</t>
  </si>
  <si>
    <t>022</t>
  </si>
  <si>
    <t>więcej szlaków pieszych i ścieżek rowerowych</t>
  </si>
  <si>
    <t>023</t>
  </si>
  <si>
    <t>Kamień Mały</t>
  </si>
  <si>
    <t>024</t>
  </si>
  <si>
    <t>napisy na tablicach - są zbyt infantylne i nie dokształcają odbiorcy, nie zawsze jasny jest przebieg szlaku, w opisach położyć nacisk na wartości polskiej przyrody, nie powinny być wymieniane gatunki inwazyjne</t>
  </si>
  <si>
    <t>Boock</t>
  </si>
  <si>
    <t>Locknitz (Niemcy)</t>
  </si>
  <si>
    <t>025</t>
  </si>
  <si>
    <t>lepsze drogi, zwiększyć nadzór</t>
  </si>
  <si>
    <t>026</t>
  </si>
  <si>
    <t>027</t>
  </si>
  <si>
    <t>028</t>
  </si>
  <si>
    <t>naprawa zarwanego mostu na Polderze Północnym, nowe szlaki i ścieżki dydaktyczne</t>
  </si>
  <si>
    <t>Głogów</t>
  </si>
  <si>
    <t>głogowski</t>
  </si>
  <si>
    <t>029</t>
  </si>
  <si>
    <t>naprawić mostek, mało informacji na stronie Parku</t>
  </si>
  <si>
    <t>Polkowice</t>
  </si>
  <si>
    <t>polkowicki</t>
  </si>
  <si>
    <t>030</t>
  </si>
  <si>
    <t>opublikować szlaki w zintegrowanej formie (poza stroną internetową)</t>
  </si>
  <si>
    <t>Nowiny Wielkie</t>
  </si>
  <si>
    <t>031</t>
  </si>
  <si>
    <t>032</t>
  </si>
  <si>
    <t>Zbyt rozbudowana i powinna być ograniczona</t>
  </si>
  <si>
    <t>ograniczyć wjazd motorami i quadami</t>
  </si>
  <si>
    <t>jestem miejscowy</t>
  </si>
  <si>
    <t>możliwość kąpieli;</t>
  </si>
  <si>
    <t>częściowo zmieniłem</t>
  </si>
  <si>
    <t>o otwartych szlakach/ścieżkach;o dostępności terenu;o miejscach wartych odwiedzenia;o możliwych sposobach poruszania się po Parku;o możliwych do zaobserwowania zwierzętach;o sposobie dotarcia do konkretnego miejsca;</t>
  </si>
  <si>
    <t>033</t>
  </si>
  <si>
    <t>034</t>
  </si>
  <si>
    <t>o otwartych szlakach/ścieżkach;o możliwych do zaobserwowania zwierzętach;o sposobie dotarcia do konkretnego miejsca;</t>
  </si>
  <si>
    <t>035</t>
  </si>
  <si>
    <t>poprawić oznaczenie dróg i parkingów</t>
  </si>
  <si>
    <t>036</t>
  </si>
  <si>
    <t>wzmocnić drogi</t>
  </si>
  <si>
    <t>037</t>
  </si>
  <si>
    <t>jestem mieszkańcem okolic</t>
  </si>
  <si>
    <t>038</t>
  </si>
  <si>
    <t>naprawić most między Kamieniem a wałem</t>
  </si>
  <si>
    <t>039</t>
  </si>
  <si>
    <t>wyrównać drogę z Kamienia do wału</t>
  </si>
  <si>
    <t>o miejscach wartych odwiedzenia;o możliwych do zaobserwowania zwierzętach;</t>
  </si>
  <si>
    <t>040</t>
  </si>
  <si>
    <t>041</t>
  </si>
  <si>
    <t>nowe, dłuższe szlaki piesze (bardziej wymagające); na stronie internetowej powinny być informacje o szlakach w okolicach Parku (np. Gęgawy czy Derkacza)</t>
  </si>
  <si>
    <t>o otwartych szlakach/ścieżkach;o dostępności terenu;o miejscach wartych odwiedzenia;</t>
  </si>
  <si>
    <t>Berlin</t>
  </si>
  <si>
    <t>Berlin (Niemcy)</t>
  </si>
  <si>
    <t>042</t>
  </si>
  <si>
    <t>o otwartych szlakach/ścieżkach;o możliwych sposobach poruszania się po Parku;</t>
  </si>
  <si>
    <t>o otwartych szlakach/ścieżkach;o miejscach wartych odwiedzenia;o możliwych do zaobserwowania zwierzętach;o sposobie dotarcia do konkretnego miejsca;</t>
  </si>
  <si>
    <t>Gubin</t>
  </si>
  <si>
    <t>krośnieński</t>
  </si>
  <si>
    <t>043</t>
  </si>
  <si>
    <t>wydłużyć ścieżki dla pieszych</t>
  </si>
  <si>
    <t>044</t>
  </si>
  <si>
    <t>poprawić utrzymanie szlaków rowerowych</t>
  </si>
  <si>
    <t>045</t>
  </si>
  <si>
    <t>046</t>
  </si>
  <si>
    <t>lepsze oznaczenie szlaków i miejsc parkingowych; większa ilość szlaków</t>
  </si>
  <si>
    <t>047</t>
  </si>
  <si>
    <t>poprawić oznakowanie szlaków z drogi wojewódzkiej</t>
  </si>
  <si>
    <t>048</t>
  </si>
  <si>
    <t>więcej ścieżek, punktów widokowych i punktów dydaktycznych</t>
  </si>
  <si>
    <t>Zielona Góra</t>
  </si>
  <si>
    <t>zielonogórski</t>
  </si>
  <si>
    <t>049</t>
  </si>
  <si>
    <t>Poznanie terenu</t>
  </si>
  <si>
    <t>więcej ścieżek</t>
  </si>
  <si>
    <t>od dawna planowałem</t>
  </si>
  <si>
    <t>050</t>
  </si>
  <si>
    <t>o otwartych szlakach/ścieżkach;o miejscach wartych odwiedzenia;o możliwych do zaobserwowania zwierzętach;</t>
  </si>
  <si>
    <t>051</t>
  </si>
  <si>
    <t>więcej koszy na śmieci</t>
  </si>
  <si>
    <t>052</t>
  </si>
  <si>
    <t>Opole</t>
  </si>
  <si>
    <t>opolski</t>
  </si>
  <si>
    <t>053</t>
  </si>
  <si>
    <t>oznakowanie szlaków</t>
  </si>
  <si>
    <t>Osiecko</t>
  </si>
  <si>
    <t>międzyrzecki</t>
  </si>
  <si>
    <t>054</t>
  </si>
  <si>
    <t>więcej oznaczeń szlaków, ogólnodostępne mapy na szlaku</t>
  </si>
  <si>
    <t>055</t>
  </si>
  <si>
    <t>o otwartych szlakach/ścieżkach;o dostępności terenu;o miejscach wartych odwiedzenia;o możliwych do zaobserwowania zwierzętach</t>
  </si>
  <si>
    <t>nowy punkt wycieczki - Stacja Pomp</t>
  </si>
  <si>
    <t>Gdynia</t>
  </si>
  <si>
    <t>056</t>
  </si>
  <si>
    <t>po rozmowie z ankieterem</t>
  </si>
  <si>
    <t>o miejscach wartych odwiedzenia;o możliwych sposobach poruszania się po Parku;o możliwych do zaobserwowania zwierzętach;o sposobie dotarcia do konkretnego miejsca</t>
  </si>
  <si>
    <t>057</t>
  </si>
  <si>
    <t>tablice informacyjne</t>
  </si>
  <si>
    <t>Łódź</t>
  </si>
  <si>
    <t>058</t>
  </si>
  <si>
    <t>Kalonka</t>
  </si>
  <si>
    <t>łódzki</t>
  </si>
  <si>
    <t>059</t>
  </si>
  <si>
    <t>tablice informacyjne i oznaczenie dojazdu do ścieżek  dróg głównych</t>
  </si>
  <si>
    <t>Rozgarty</t>
  </si>
  <si>
    <t>toruński</t>
  </si>
  <si>
    <t>060</t>
  </si>
  <si>
    <t>lepsze oznakowanie</t>
  </si>
  <si>
    <t>061</t>
  </si>
  <si>
    <t>o miejscach wartych odwiedzenia;o możliwych do zaobserwowania zwierzętach</t>
  </si>
  <si>
    <t>o miejscach wartych odwiedzenia;o możliwych do zaobserwowania zwierzętach;o sposobie dotarcia do konkretnego miejsca</t>
  </si>
  <si>
    <t>062</t>
  </si>
  <si>
    <t>o otwartych szlakach/ścieżkach;o możliwych do zaobserwowania zwierzętach</t>
  </si>
  <si>
    <t>Nysa</t>
  </si>
  <si>
    <t>063</t>
  </si>
  <si>
    <t>Bogatynia</t>
  </si>
  <si>
    <t>zgorzelecki</t>
  </si>
  <si>
    <t>064</t>
  </si>
  <si>
    <t>łowienie ryb</t>
  </si>
  <si>
    <t>065</t>
  </si>
  <si>
    <t>o otwartych szlakach/ścieżkach;o sposobie dotarcia do konkretnego miejsca</t>
  </si>
  <si>
    <t>o możliwych do zaobserwowania zwierzętach</t>
  </si>
  <si>
    <t>Kamień Pomorski</t>
  </si>
  <si>
    <t>kamieński</t>
  </si>
  <si>
    <t>066</t>
  </si>
  <si>
    <t>wygonić wędkarzy</t>
  </si>
  <si>
    <t>Po uzyskaniu informacji od pracownika OME</t>
  </si>
  <si>
    <t>o otwartych szlakach/ścieżkach</t>
  </si>
  <si>
    <t>całkowicie zmieniłem</t>
  </si>
  <si>
    <t>067</t>
  </si>
  <si>
    <t>rozbudować szlaki piesze i punkty widokowe</t>
  </si>
  <si>
    <t>o miejscach wartych odwiedzenia;o możliwych sposobach poruszania się po Parku;o możliwych do zaobserwowania zwierzętach</t>
  </si>
  <si>
    <t>068</t>
  </si>
  <si>
    <t>o dostępności terenu;o miejscach wartych odwiedzenia;o możliwych sposobach poruszania się po Parku;o możliwych do zaobserwowania zwierzętach</t>
  </si>
  <si>
    <t>069</t>
  </si>
  <si>
    <t>Przyborów</t>
  </si>
  <si>
    <t>070</t>
  </si>
  <si>
    <t>071</t>
  </si>
  <si>
    <t>Gdańsk</t>
  </si>
  <si>
    <t>072</t>
  </si>
  <si>
    <t>073</t>
  </si>
  <si>
    <t>Bydgoszcz</t>
  </si>
  <si>
    <t>074</t>
  </si>
  <si>
    <t>075</t>
  </si>
  <si>
    <t>076</t>
  </si>
  <si>
    <t>sport</t>
  </si>
  <si>
    <t>077</t>
  </si>
  <si>
    <t>połączyć kładką polder północny i południowy, lepsza reklama "Nowej Ameryki"</t>
  </si>
  <si>
    <t>o miejscach wartych odwiedzenia</t>
  </si>
  <si>
    <t>Katowice</t>
  </si>
  <si>
    <t>078</t>
  </si>
  <si>
    <t>wytyczyć szlak z Ornitova w głąb Parku, zbudować kładkę pomiędzy polderami, zbudować drogę rowerową z Kostrzyna do Słońska, poprawić nawierzchnię ścieżki rowerowej, wybudować parkingi przy drodze Kostrzyn-Słońsk</t>
  </si>
  <si>
    <t>079</t>
  </si>
  <si>
    <t>dodać kosze na śmieci</t>
  </si>
  <si>
    <t>080</t>
  </si>
  <si>
    <t>wprowadzić zakaz wjazdu aut do Parku</t>
  </si>
  <si>
    <t>Kraków</t>
  </si>
  <si>
    <t>081</t>
  </si>
  <si>
    <t>082</t>
  </si>
  <si>
    <t>Poręba</t>
  </si>
  <si>
    <t>zawierciański</t>
  </si>
  <si>
    <t>083</t>
  </si>
  <si>
    <t>084</t>
  </si>
  <si>
    <t>Mieroszów</t>
  </si>
  <si>
    <t>wałbrzyski</t>
  </si>
  <si>
    <t>085</t>
  </si>
  <si>
    <t>o otwartych szlakach/ścieżkach;o miejscach wartych odwiedzenia</t>
  </si>
  <si>
    <t>o możliwych do zaobserwowania zwierzętach;o sposobie dotarcia do konkretnego miejsca</t>
  </si>
  <si>
    <t>Pysząca</t>
  </si>
  <si>
    <t>śremski</t>
  </si>
  <si>
    <t>086</t>
  </si>
  <si>
    <t>więcej wież widokowych</t>
  </si>
  <si>
    <t>Kwietno</t>
  </si>
  <si>
    <t>średzki śląski</t>
  </si>
  <si>
    <t>087</t>
  </si>
  <si>
    <t>088</t>
  </si>
  <si>
    <t>o otwartych szlakach/ścieżkach;o dostępności terenu;o sposobie dotarcia do konkretnego miejsca</t>
  </si>
  <si>
    <t>089</t>
  </si>
  <si>
    <t>090</t>
  </si>
  <si>
    <t>brak przypinek w sklepie</t>
  </si>
  <si>
    <t>o otwartych szlakach/ścieżkach;o dostępności terenu;o miejscach wartych odwiedzenia;o możliwych sposobach poruszania się po Parku;o możliwych do zaobserwowania zwierzętach</t>
  </si>
  <si>
    <t>więcej czatowni fotograficznych</t>
  </si>
  <si>
    <t>Szczecin</t>
  </si>
  <si>
    <t>092</t>
  </si>
  <si>
    <t>więcej informacji jak dojechać</t>
  </si>
  <si>
    <t>jeszcze przed powstaniem parku</t>
  </si>
  <si>
    <t>o otwartych szlakach/ścieżkach;o dostępności terenu;o miejscach wartych odwiedzenia</t>
  </si>
  <si>
    <t>o dostępności terenu;o możliwych sposobach poruszania się po Parku;o możliwych do zaobserwowania zwierzętach</t>
  </si>
  <si>
    <t>Legnica</t>
  </si>
  <si>
    <t>093</t>
  </si>
  <si>
    <t>o dostępności terenu</t>
  </si>
  <si>
    <t>o otwartych szlakach/ścieżkach;o miejscach wartych odwiedzenia;o możliwych sposobach poruszania się po Parku;o sposobie dotarcia do konkretnego miejsca</t>
  </si>
  <si>
    <t>094</t>
  </si>
  <si>
    <t>o dostępności terenu;o sposobie dotarcia do konkretnego miejsca</t>
  </si>
  <si>
    <t>Wawrów</t>
  </si>
  <si>
    <t>095</t>
  </si>
  <si>
    <t>Olecko</t>
  </si>
  <si>
    <t>olecki</t>
  </si>
  <si>
    <t>096</t>
  </si>
  <si>
    <t>brak</t>
  </si>
  <si>
    <t>o otwartych szlakach/ścieżkach;o dostępności terenu;o miejscach wartych odwiedzenia;o możliwych sposobach poruszania się po Parku;o sposobie dotarcia do konkretnego miejsca</t>
  </si>
  <si>
    <t>o otwartych szlakach/ścieżkach;o dostępności terenu;o miejscach wartych odwiedzenia;o możliwych sposobach poruszania się po Parku;o możliwych do zaobserwowania zwierzętach;o sposobie dotarcia do konkretnego miejsca</t>
  </si>
  <si>
    <t>097</t>
  </si>
  <si>
    <t>wybudować ścieżkę rowerową Kostrzyn - Słońsk</t>
  </si>
  <si>
    <t>mieszkam w Słońsku</t>
  </si>
  <si>
    <t>098</t>
  </si>
  <si>
    <t>Trzemeszno Lubuskie</t>
  </si>
  <si>
    <t>099</t>
  </si>
  <si>
    <t>więcej tras rowerowych</t>
  </si>
  <si>
    <t>Słubice</t>
  </si>
  <si>
    <t>100</t>
  </si>
  <si>
    <t>101</t>
  </si>
  <si>
    <t>dostęp do infrastruktury, ograniczyć wyposażenie np. ścieżki konne, hotele dla myśliwych</t>
  </si>
  <si>
    <t>102</t>
  </si>
  <si>
    <t>Kalisz</t>
  </si>
  <si>
    <t>kaliski</t>
  </si>
  <si>
    <t>103</t>
  </si>
  <si>
    <t>par powinien być jak najbardziej naturalny</t>
  </si>
  <si>
    <t>104</t>
  </si>
  <si>
    <t>105</t>
  </si>
  <si>
    <t>ambony dla myśliwych strzelających do szopów, kosze na śmieci</t>
  </si>
  <si>
    <t>106</t>
  </si>
  <si>
    <t>Skwierzynka</t>
  </si>
  <si>
    <t>koszaliński</t>
  </si>
  <si>
    <t>107</t>
  </si>
  <si>
    <t>o otwartych szlakach/ścieżkach;o miejscach wartych odwiedzenia;o sposobie dotarcia do konkretnego miejsca</t>
  </si>
  <si>
    <t>Koszalin</t>
  </si>
  <si>
    <t>108</t>
  </si>
  <si>
    <t>109</t>
  </si>
  <si>
    <t>Ośno Lubuskie</t>
  </si>
  <si>
    <t>110</t>
  </si>
  <si>
    <t>oznaczenie dojśc i dojazdów</t>
  </si>
  <si>
    <t>Legionowo</t>
  </si>
  <si>
    <t>legionowski</t>
  </si>
  <si>
    <t>111</t>
  </si>
  <si>
    <t>Zakopane</t>
  </si>
  <si>
    <t>tatrzański</t>
  </si>
  <si>
    <t>112</t>
  </si>
  <si>
    <t>więcej szlaków i tablic informacyjnych</t>
  </si>
  <si>
    <t>113</t>
  </si>
  <si>
    <t>więcej informacji</t>
  </si>
  <si>
    <t>o dostępności terenu;o możliwych do zaobserwowania zwierzętach;o sposobie dotarcia do konkretnego miejsca</t>
  </si>
  <si>
    <t>114</t>
  </si>
  <si>
    <t>więcej szlaków pieszych</t>
  </si>
  <si>
    <t>115</t>
  </si>
  <si>
    <t>o otwartych szlakach/ścieżkach;o dostępności terenu;o możliwych do zaobserwowania zwierzętach</t>
  </si>
  <si>
    <t>116</t>
  </si>
  <si>
    <t>117</t>
  </si>
  <si>
    <t>o sposobie dotarcia do konkretnego miejsca</t>
  </si>
  <si>
    <t>o otwartych szlakach/ścieżkach;o miejscach wartych odwiedzenia;o możliwych do zaobserwowania zwierzętach</t>
  </si>
  <si>
    <t>Tarnów</t>
  </si>
  <si>
    <t>118</t>
  </si>
  <si>
    <t>Warszawa</t>
  </si>
  <si>
    <t>119</t>
  </si>
  <si>
    <t>120</t>
  </si>
  <si>
    <t>więcej śmietników i ławek do odpoczynku</t>
  </si>
  <si>
    <t>Zaszczytów</t>
  </si>
  <si>
    <t>121</t>
  </si>
  <si>
    <t>większa różnorodność ścieżek pieszych</t>
  </si>
  <si>
    <t>122</t>
  </si>
  <si>
    <t>więcej tablic informacyjnych opisujących gatunki w Parku</t>
  </si>
  <si>
    <t>Luksemburg</t>
  </si>
  <si>
    <t>123</t>
  </si>
  <si>
    <t>Skwierzyna</t>
  </si>
  <si>
    <t>124</t>
  </si>
  <si>
    <t>przejazdem, przez przypadek</t>
  </si>
  <si>
    <t>lepsze oznaczenie szlaków, więcej wyznaczonych i dobrze oznaczonych parkingów</t>
  </si>
  <si>
    <t>otaczająca przyroda</t>
  </si>
  <si>
    <t>125</t>
  </si>
  <si>
    <t>Kocin</t>
  </si>
  <si>
    <t>żagański</t>
  </si>
  <si>
    <t>126</t>
  </si>
  <si>
    <t>więcej ścieżek dydaktycznych i tablic informacyjnych</t>
  </si>
  <si>
    <t>Środa Wielkopolska</t>
  </si>
  <si>
    <t>średzki</t>
  </si>
  <si>
    <t>127</t>
  </si>
  <si>
    <t>o dostępności terenu;o możliwych sposobach poruszania się po Parku</t>
  </si>
  <si>
    <t>128</t>
  </si>
  <si>
    <t>wyższe punkty widokowe</t>
  </si>
  <si>
    <t>o miejscach wartych odwiedzenia;o sposobie dotarcia do konkretnego miejsca</t>
  </si>
  <si>
    <t>129</t>
  </si>
  <si>
    <t>130</t>
  </si>
  <si>
    <t>pokazanie znajomym miejsca urodzenia</t>
  </si>
  <si>
    <t>więcej tablic informacyjnych, toalet i punktów gastronomicznych</t>
  </si>
  <si>
    <t>Mając wiedzę z OME ciekawiej zwiedzało się Park, czas nie pozwolił na zwiedzenie więcej</t>
  </si>
  <si>
    <t>131</t>
  </si>
  <si>
    <t>o otwartych szlakach/ścieżkach;o dostępności terenu;o miejscach wartych odwiedzenia;o możliwych do zaobserwowania zwierzętach;o sposobie dotarcia do konkretnego miejsca</t>
  </si>
  <si>
    <t>132</t>
  </si>
  <si>
    <t>mocniej rozreklamować Park w Polsce</t>
  </si>
  <si>
    <t>Postanowiłam odwiedzić więcej ścieżek przyrodniczych</t>
  </si>
  <si>
    <t>Straszęcin</t>
  </si>
  <si>
    <t>dębicki</t>
  </si>
  <si>
    <t>133</t>
  </si>
  <si>
    <t>więcej informacji: mapki, strzałki</t>
  </si>
  <si>
    <t>Plewiska</t>
  </si>
  <si>
    <t>134</t>
  </si>
  <si>
    <t>drogowskazy kierujące do parkingu</t>
  </si>
  <si>
    <t>135</t>
  </si>
  <si>
    <t>znieść zakaz wejścia z psem do OME</t>
  </si>
  <si>
    <t>Wrocław</t>
  </si>
  <si>
    <t>136</t>
  </si>
  <si>
    <t>137</t>
  </si>
  <si>
    <t>138</t>
  </si>
  <si>
    <t>Miłkowo</t>
  </si>
  <si>
    <t>czarnkowsko-trzcianecki</t>
  </si>
  <si>
    <t>139</t>
  </si>
  <si>
    <t>uzupełnić oznaczenie na mapach gps</t>
  </si>
  <si>
    <t>140</t>
  </si>
  <si>
    <t>brak dostatecznych informacji na mapach</t>
  </si>
  <si>
    <t>141</t>
  </si>
  <si>
    <t>lepsze oznakowanie dojazdu do Parku z sąsiednich miejscowości</t>
  </si>
  <si>
    <t>Kostrzyn Wielkopolski</t>
  </si>
  <si>
    <t>142</t>
  </si>
  <si>
    <t>6</t>
  </si>
  <si>
    <t>143</t>
  </si>
  <si>
    <t>Złotniki</t>
  </si>
  <si>
    <t>144</t>
  </si>
  <si>
    <t>poprawić oznakowanie dojazdu</t>
  </si>
  <si>
    <t>145</t>
  </si>
  <si>
    <t>lepsze oznakowanie dojazdu</t>
  </si>
  <si>
    <t>146</t>
  </si>
  <si>
    <t>Wieliczka</t>
  </si>
  <si>
    <t>wielicki</t>
  </si>
  <si>
    <t>147</t>
  </si>
  <si>
    <t>o otwartych szlakach/ścieżkach;o miejscach wartych odwiedzenia;o możliwych do zaobserwowania zwierzętach;o sposobie dotarcia do konkretnego miejsca</t>
  </si>
  <si>
    <t>Kędzierzyn-Koźle</t>
  </si>
  <si>
    <t>kędzierzyński</t>
  </si>
  <si>
    <t>148</t>
  </si>
  <si>
    <t>149</t>
  </si>
  <si>
    <t>most na Kanale Maszówek</t>
  </si>
  <si>
    <t>150</t>
  </si>
  <si>
    <t>naprawić most na Kanale Maszówek, wybudować ścieżkę rowerową z Kostrzyna do Słońska, brak komunikacji publicznej</t>
  </si>
  <si>
    <t>151</t>
  </si>
  <si>
    <t>lepsze oznakowanie dojazdów do szlaków</t>
  </si>
  <si>
    <t>152</t>
  </si>
  <si>
    <t>153</t>
  </si>
  <si>
    <t>Toruń</t>
  </si>
  <si>
    <t>154</t>
  </si>
  <si>
    <t>Kielce</t>
  </si>
  <si>
    <t>155</t>
  </si>
  <si>
    <t>Kamień Wielki</t>
  </si>
  <si>
    <t>156</t>
  </si>
  <si>
    <t>więcej szlaków pieszych i rowerowych, więcej koszy na śmieci</t>
  </si>
  <si>
    <t>157</t>
  </si>
  <si>
    <t>Piła</t>
  </si>
  <si>
    <t>158</t>
  </si>
  <si>
    <t>istnienie Parku Narodowego</t>
  </si>
  <si>
    <t>Zgierz</t>
  </si>
  <si>
    <t>zgierski</t>
  </si>
  <si>
    <t>159</t>
  </si>
  <si>
    <t>lepsze oznakowanie szlaków, więcej koszy na śmieci</t>
  </si>
  <si>
    <t>Inowrocław</t>
  </si>
  <si>
    <t>160</t>
  </si>
  <si>
    <t>więcej informacji o atrakcjach w terenie</t>
  </si>
  <si>
    <t>161</t>
  </si>
  <si>
    <t>Banino</t>
  </si>
  <si>
    <t>kartuski</t>
  </si>
  <si>
    <t>162</t>
  </si>
  <si>
    <t>więcej koszy na śmieci, więcej schronów na szlakach</t>
  </si>
  <si>
    <t>163</t>
  </si>
  <si>
    <t>Gorzów Wlkp</t>
  </si>
  <si>
    <t>164</t>
  </si>
  <si>
    <t>poprawić stan ścieżek rowerowych</t>
  </si>
  <si>
    <t>165</t>
  </si>
  <si>
    <t>umieścić szlaki na mapie topograficznej</t>
  </si>
  <si>
    <t>o otwartych szlakach/ścieżkach;o dostępności terenu;o miejscach wartych odwiedzenia;o możliwych sposobach poruszania się po Parku;o możliwych do zaobserwowania zwierzętach;o sposobie dotarcia do konkretnego miejsca;pytałem o mapę</t>
  </si>
  <si>
    <t>166</t>
  </si>
  <si>
    <t>167</t>
  </si>
  <si>
    <t>możliwość jazdy rowerem po ścieżkach przyrodniczych, więcej koszy na śmieci</t>
  </si>
  <si>
    <t>Hamburg</t>
  </si>
  <si>
    <t>168</t>
  </si>
  <si>
    <t>Stare Dzieduszyce</t>
  </si>
  <si>
    <t>169</t>
  </si>
  <si>
    <t>170</t>
  </si>
  <si>
    <t>lepiej oznaczyć i opisać szlaki, więcej szlaków, więcej informacji na szlakach, łodzie z silnikami elektrycznymi pływające po parku</t>
  </si>
  <si>
    <t>Bielany Wrocławskie</t>
  </si>
  <si>
    <t>wrocławski</t>
  </si>
  <si>
    <t>171</t>
  </si>
  <si>
    <t>opisy na tablicach informacyjnych</t>
  </si>
  <si>
    <t>172</t>
  </si>
  <si>
    <t>wyższe wieże widokowe</t>
  </si>
  <si>
    <t>o możliwych sposobach poruszania się po Parku</t>
  </si>
  <si>
    <t>Przystanki</t>
  </si>
  <si>
    <t>szamotulski</t>
  </si>
  <si>
    <t>173</t>
  </si>
  <si>
    <t>174</t>
  </si>
  <si>
    <t>rozbudować istniejące elementy</t>
  </si>
  <si>
    <t>175</t>
  </si>
  <si>
    <t>więcej szlaków, wypożyczalnia kajaków</t>
  </si>
  <si>
    <t>176</t>
  </si>
  <si>
    <t>poprawić jakość dróg</t>
  </si>
  <si>
    <t>Krześniczka</t>
  </si>
  <si>
    <t>177</t>
  </si>
  <si>
    <t>178</t>
  </si>
  <si>
    <t>wydłużyć szlaki</t>
  </si>
  <si>
    <t>179</t>
  </si>
  <si>
    <t>więcej koszy na śmieci, droga nieprzejezdna dla wózków (Kamieńska Grobla)</t>
  </si>
  <si>
    <t>180</t>
  </si>
  <si>
    <t>181</t>
  </si>
  <si>
    <t>lepsze oznaczenie dojazdów do szlaków</t>
  </si>
  <si>
    <t>Bielawa</t>
  </si>
  <si>
    <t>piaseczyński</t>
  </si>
  <si>
    <t>182</t>
  </si>
  <si>
    <t>lornetki na punktach widokowych (ew. wypożyczalnia)</t>
  </si>
  <si>
    <t>ulotka z mapą w hotelu</t>
  </si>
  <si>
    <t>183</t>
  </si>
  <si>
    <t>więcej ławek</t>
  </si>
  <si>
    <t>184</t>
  </si>
  <si>
    <t>zmienić stare pomosty zbudowane z blachy na drewniane</t>
  </si>
  <si>
    <t>185</t>
  </si>
  <si>
    <t>obkoszenie infrastruktury</t>
  </si>
  <si>
    <t>186</t>
  </si>
  <si>
    <t>187</t>
  </si>
  <si>
    <t>łatwiej dostępne miejsca odpoczynku (wykoszone)</t>
  </si>
  <si>
    <t>Zegrze</t>
  </si>
  <si>
    <t>188</t>
  </si>
  <si>
    <t>wykosić miejsca przy wiatach i tarasach widokowych</t>
  </si>
  <si>
    <t>189</t>
  </si>
  <si>
    <t>190</t>
  </si>
  <si>
    <t>191</t>
  </si>
  <si>
    <t>192</t>
  </si>
  <si>
    <t>o dostępności terenu;o możliwych do zaobserwowania zwierzętach</t>
  </si>
  <si>
    <t>193</t>
  </si>
  <si>
    <t>ścieżki dydaktyczne wodne gdzie turyści zwiedzali by park płynąc łódką lub barką</t>
  </si>
  <si>
    <t>194</t>
  </si>
  <si>
    <t>oczyszczenie ścieżek</t>
  </si>
  <si>
    <t>195</t>
  </si>
  <si>
    <t>Żabice</t>
  </si>
  <si>
    <t>196</t>
  </si>
  <si>
    <t>o dostępności terenu;o otwartych szlakach/ścieżkach;o miejscach wartych odwiedzenia;o możliwych sposobach poruszania się po Parku;o możliwych do zaobserwowania zwierzętach;o sposobie dotarcia do konkretnego miejsca</t>
  </si>
  <si>
    <t>197</t>
  </si>
  <si>
    <t>poprawa dróg dojazdowych</t>
  </si>
  <si>
    <t>o otwartych szlakach/ścieżkach;o dostępności terenu;o miejscach wartych odwiedzenia;o możliwych sposobach poruszania się po Parku</t>
  </si>
  <si>
    <t>198</t>
  </si>
  <si>
    <t>utwardzić drogi dojazdowe</t>
  </si>
  <si>
    <t>o miejscach wartych odwiedzenia;o sposobie dotarcia do konkretnego miejsca;o możliwych do zaobserwowania zwierzętach</t>
  </si>
  <si>
    <t>luboń</t>
  </si>
  <si>
    <t>199</t>
  </si>
  <si>
    <t>Dąbroszyn</t>
  </si>
  <si>
    <t>200</t>
  </si>
  <si>
    <t>nie wiedziałam że jest park</t>
  </si>
  <si>
    <t>Rzepin</t>
  </si>
  <si>
    <t>201</t>
  </si>
  <si>
    <t>Stańsk</t>
  </si>
  <si>
    <t>202</t>
  </si>
  <si>
    <t>203</t>
  </si>
  <si>
    <t>204</t>
  </si>
  <si>
    <t>205</t>
  </si>
  <si>
    <t>więcej znaków i tablic informacyjnych w terenie</t>
  </si>
  <si>
    <t>206</t>
  </si>
  <si>
    <t>207</t>
  </si>
  <si>
    <t>więcej tablic informacyjnych na terenie Parku</t>
  </si>
  <si>
    <t>208</t>
  </si>
  <si>
    <t>więcej informacji na temat Parku</t>
  </si>
  <si>
    <t>209</t>
  </si>
  <si>
    <t>210</t>
  </si>
  <si>
    <t>211</t>
  </si>
  <si>
    <t>więcej akcentów historycznych dotyczących tych terenów - Olendrzy</t>
  </si>
  <si>
    <t>Pszczyna</t>
  </si>
  <si>
    <t>pszczyński</t>
  </si>
  <si>
    <t>212</t>
  </si>
  <si>
    <t>213</t>
  </si>
  <si>
    <t>więcej ścieżek dydaktycznych</t>
  </si>
  <si>
    <t>214</t>
  </si>
  <si>
    <t>więcej szlaków i ścieżek dydaktycznych</t>
  </si>
  <si>
    <t>215</t>
  </si>
  <si>
    <t>216</t>
  </si>
  <si>
    <t>Wałbrzych</t>
  </si>
  <si>
    <t>217</t>
  </si>
  <si>
    <t>automaty z napojami i przekąskami przy wiatach</t>
  </si>
  <si>
    <t>218</t>
  </si>
  <si>
    <t>oczyścić kanały między łąkami</t>
  </si>
  <si>
    <t>219</t>
  </si>
  <si>
    <t>Jaworzno</t>
  </si>
  <si>
    <t>220</t>
  </si>
  <si>
    <t>221</t>
  </si>
  <si>
    <t>czatownie do obserwacji ptaków</t>
  </si>
  <si>
    <t>222</t>
  </si>
  <si>
    <t>o otwartych szlakach/ścieżkach;o możliwych do zaobserwowania zwierzętach;o sposobie dotarcia do konkretnego miejsca</t>
  </si>
  <si>
    <t>223</t>
  </si>
  <si>
    <t>więcej ścieżek pieszych i dydaktycznych</t>
  </si>
  <si>
    <t>Trzebnica</t>
  </si>
  <si>
    <t>trzebnicki</t>
  </si>
  <si>
    <t>224</t>
  </si>
  <si>
    <t>zobaczenie wszystkich parków narodowych</t>
  </si>
  <si>
    <t>o otwartych szlakach/ścieżkach;o dostępności terenu;o możliwych do zaobserwowania zwierzętach;o sposobie dotarcia do konkretnego miejsca</t>
  </si>
  <si>
    <t>225</t>
  </si>
  <si>
    <t>nie tylko budować ale i konserwować</t>
  </si>
  <si>
    <t>226</t>
  </si>
  <si>
    <t>wyrównanie i koszenie głównych szlaków</t>
  </si>
  <si>
    <t>227</t>
  </si>
  <si>
    <t>228</t>
  </si>
  <si>
    <t>chęć odwiedzenia wszystkich parków narodowych</t>
  </si>
  <si>
    <t>poprawić opis trasy do Mokradeł od Biura, pieczątki dla turystów</t>
  </si>
  <si>
    <t>uzyskanie mapy/informatora</t>
  </si>
  <si>
    <t>229</t>
  </si>
  <si>
    <t>230</t>
  </si>
  <si>
    <t>aktywne spędzenie czasu</t>
  </si>
  <si>
    <t>231</t>
  </si>
  <si>
    <t>więcej śmietników</t>
  </si>
  <si>
    <t>232</t>
  </si>
  <si>
    <t>233</t>
  </si>
  <si>
    <t>234</t>
  </si>
  <si>
    <t>235</t>
  </si>
  <si>
    <t>236</t>
  </si>
  <si>
    <t>więcej koszy na śmieci i toalet</t>
  </si>
  <si>
    <t>237</t>
  </si>
  <si>
    <t>238</t>
  </si>
  <si>
    <t>więcej deptaków drewnianych, więcej miejsc obserwacyjnych</t>
  </si>
  <si>
    <t>Łomianki</t>
  </si>
  <si>
    <t>warszawski zachodni</t>
  </si>
  <si>
    <t>239</t>
  </si>
  <si>
    <t>Mierzyn</t>
  </si>
  <si>
    <t>policki</t>
  </si>
  <si>
    <t>240</t>
  </si>
  <si>
    <t>241</t>
  </si>
  <si>
    <t>ścieżka Olszynki</t>
  </si>
  <si>
    <t>więcej czasu spędziłam w OME</t>
  </si>
  <si>
    <t>242</t>
  </si>
  <si>
    <t>więcej atrakcyjnych szlaków, oznakowanie</t>
  </si>
  <si>
    <t>o dostępności terenu;o możliwych sposobach poruszania się po Parku;o sposobie dotarcia do konkretnego miejsca</t>
  </si>
  <si>
    <t>o otwartych szlakach/ścieżkach;o możliwych sposobach poruszania się po Parku;o sposobie dotarcia do konkretnego miejsca</t>
  </si>
  <si>
    <t>243</t>
  </si>
  <si>
    <t>Wschowa</t>
  </si>
  <si>
    <t>wschowski</t>
  </si>
  <si>
    <t>244</t>
  </si>
  <si>
    <t>tablice w j. angielskim, więcej szlaków z możliwością wprowadzania psów</t>
  </si>
  <si>
    <t>Buk</t>
  </si>
  <si>
    <t>245</t>
  </si>
  <si>
    <t>Strzekęcino</t>
  </si>
  <si>
    <t>246</t>
  </si>
  <si>
    <t>247</t>
  </si>
  <si>
    <t>lepiej oznakować trasy dotarcia do szlaków, więcej map stacjonarnych</t>
  </si>
  <si>
    <t>Laski</t>
  </si>
  <si>
    <t>kępiński</t>
  </si>
  <si>
    <t>248</t>
  </si>
  <si>
    <t>Trzcinica</t>
  </si>
  <si>
    <t>249</t>
  </si>
  <si>
    <t>dokładniej oznaczyć szlaki rowerowe i piesze</t>
  </si>
  <si>
    <t>o otwartych szlakach/ścieżkach;o możliwych sposobach poruszania się po Parku</t>
  </si>
  <si>
    <t>Tylicz</t>
  </si>
  <si>
    <t>nowosądecki</t>
  </si>
  <si>
    <t>new_name</t>
  </si>
  <si>
    <t>x_id</t>
  </si>
  <si>
    <t>x_start_time</t>
  </si>
  <si>
    <t>x_completion_time</t>
  </si>
  <si>
    <t>x_email</t>
  </si>
  <si>
    <t>x_name</t>
  </si>
  <si>
    <t>survey_id</t>
  </si>
  <si>
    <t>place</t>
  </si>
  <si>
    <t>completion_date</t>
  </si>
  <si>
    <t>visits_count</t>
  </si>
  <si>
    <t>main_reason</t>
  </si>
  <si>
    <t>infrastructure_assessment</t>
  </si>
  <si>
    <t>elements_shelters</t>
  </si>
  <si>
    <t>elements_walktrails</t>
  </si>
  <si>
    <t>elements_edupaths</t>
  </si>
  <si>
    <t>elements_biketrails</t>
  </si>
  <si>
    <t>elements_horsetrails</t>
  </si>
  <si>
    <t>elements_viewpoints</t>
  </si>
  <si>
    <t>elements_parking</t>
  </si>
  <si>
    <t>elements_bins</t>
  </si>
  <si>
    <t>elements_toilets</t>
  </si>
  <si>
    <t>elements_food</t>
  </si>
  <si>
    <t>elements_infoboards</t>
  </si>
  <si>
    <t>elements_restspots</t>
  </si>
  <si>
    <t>pnuw_walktrails</t>
  </si>
  <si>
    <t>pnuw_edupaths</t>
  </si>
  <si>
    <t>pnuw_biketrails</t>
  </si>
  <si>
    <t>pnuw_viewpoints</t>
  </si>
  <si>
    <t>pnuw_parking</t>
  </si>
  <si>
    <t>pnuw_bins</t>
  </si>
  <si>
    <t>pnuw_infoboards</t>
  </si>
  <si>
    <t>pnuw_restspots</t>
  </si>
  <si>
    <t>infra_change_suggested</t>
  </si>
  <si>
    <t>trail_decision_time</t>
  </si>
  <si>
    <t>visited_ome</t>
  </si>
  <si>
    <t>it_staff_asked</t>
  </si>
  <si>
    <t>it_staff_range</t>
  </si>
  <si>
    <t>it_staff_plan_change</t>
  </si>
  <si>
    <t>if_staff_what</t>
  </si>
  <si>
    <t>it_exhibition_asked</t>
  </si>
  <si>
    <t>it_exhibition_range</t>
  </si>
  <si>
    <t>it_exhibition_plan_change</t>
  </si>
  <si>
    <t>if_exhibition_what</t>
  </si>
  <si>
    <t>sex</t>
  </si>
  <si>
    <t>education</t>
  </si>
  <si>
    <t>age</t>
  </si>
  <si>
    <t>residence_town</t>
  </si>
  <si>
    <t>residence_county</t>
  </si>
  <si>
    <t>comment</t>
  </si>
  <si>
    <t>x_interviewer</t>
  </si>
  <si>
    <t>nazwa_oryginalna</t>
  </si>
  <si>
    <t>Kolumna1</t>
  </si>
  <si>
    <t>Kolumna2</t>
  </si>
  <si>
    <t>ranking</t>
  </si>
  <si>
    <t>walktrails</t>
  </si>
  <si>
    <t>viewpoints</t>
  </si>
  <si>
    <t>edupaths</t>
  </si>
  <si>
    <t>parking</t>
  </si>
  <si>
    <t>infoboards</t>
  </si>
  <si>
    <t>biketrails</t>
  </si>
  <si>
    <t>restspots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</si>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</sst>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0" fillId="3" borderId="0" xfId="0" applyFill="1"/>
    <xf numFmtId="0" fontId="0" fillId="0" borderId="0" xfId="0" applyNumberFormat="1"/>
    <xf numFmtId="0" fontId="3" fillId="0" borderId="4" xfId="0" applyNumberFormat="1" applyFont="1" applyBorder="1"/>
  </cellXfs>
  <cellStyles count="1">
    <cellStyle name="Normalny" xfId="0" builtinId="0"/>
  </cellStyles>
  <dxfs count="8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short_colname_data!$Z$267:$Z$275</c:f>
              <c:strCache>
                <c:ptCount val="8"/>
                <c:pt idx="0">
                  <c:v>walktrails</c:v>
                </c:pt>
                <c:pt idx="1">
                  <c:v>viewpoints</c:v>
                </c:pt>
                <c:pt idx="2">
                  <c:v>edupaths</c:v>
                </c:pt>
                <c:pt idx="3">
                  <c:v>parking</c:v>
                </c:pt>
                <c:pt idx="4">
                  <c:v>infoboards</c:v>
                </c:pt>
                <c:pt idx="5">
                  <c:v>biketrails</c:v>
                </c:pt>
                <c:pt idx="6">
                  <c:v>restspots</c:v>
                </c:pt>
                <c:pt idx="7">
                  <c:v>bins</c:v>
                </c:pt>
              </c:strCache>
            </c:strRef>
          </c:cat>
          <c:val>
            <c:numRef>
              <c:f>short_colname_data!$AA$267:$AA$275</c:f>
              <c:numCache>
                <c:formatCode>General</c:formatCode>
                <c:ptCount val="9"/>
                <c:pt idx="0">
                  <c:v>2.5111111111111111</c:v>
                </c:pt>
                <c:pt idx="1">
                  <c:v>3.7455357142857144</c:v>
                </c:pt>
                <c:pt idx="2">
                  <c:v>4.1210762331838566</c:v>
                </c:pt>
                <c:pt idx="3">
                  <c:v>4.7802690582959642</c:v>
                </c:pt>
                <c:pt idx="4">
                  <c:v>4.811659192825112</c:v>
                </c:pt>
                <c:pt idx="5">
                  <c:v>4.8430493273542599</c:v>
                </c:pt>
                <c:pt idx="6">
                  <c:v>4.9461883408071747</c:v>
                </c:pt>
                <c:pt idx="7">
                  <c:v>6.1524663677130045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2-4370-BB87-AABDA54B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1065568"/>
        <c:axId val="1741067488"/>
      </c:barChart>
      <c:catAx>
        <c:axId val="174106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41067488"/>
        <c:crosses val="autoZero"/>
        <c:auto val="1"/>
        <c:lblAlgn val="ctr"/>
        <c:lblOffset val="100"/>
        <c:noMultiLvlLbl val="0"/>
      </c:catAx>
      <c:valAx>
        <c:axId val="174106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4106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664845</xdr:colOff>
      <xdr:row>261</xdr:row>
      <xdr:rowOff>143827</xdr:rowOff>
    </xdr:from>
    <xdr:to>
      <xdr:col>33</xdr:col>
      <xdr:colOff>882015</xdr:colOff>
      <xdr:row>282</xdr:row>
      <xdr:rowOff>5715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7559422-C51C-232A-C05B-3F2E530F3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Y251" totalsRowCount="1" headerRowDxfId="87">
  <autoFilter ref="A1:AY250" xr:uid="{00000000-0009-0000-0100-000001000000}">
    <filterColumn colId="35">
      <filters>
        <filter val="brak"/>
        <filter val="jestem miejscowy"/>
        <filter val="jestem mieszkańcem okolic"/>
        <filter val="jeszcze przed powstaniem parku"/>
        <filter val="mieszkam w Słońsku"/>
        <filter val="od dawna planowałem"/>
        <filter val="po rozmowie z ankieterem"/>
        <filter val="ulotka z mapą w hotelu"/>
      </filters>
    </filterColumn>
  </autoFilter>
  <tableColumns count="51">
    <tableColumn id="1" xr3:uid="{00000000-0010-0000-0000-000001000000}" name="x_id" dataDxfId="86" totalsRowDxfId="38"/>
    <tableColumn id="2" xr3:uid="{00000000-0010-0000-0000-000002000000}" name="x_start_time"/>
    <tableColumn id="3" xr3:uid="{00000000-0010-0000-0000-000003000000}" name="x_completion_time"/>
    <tableColumn id="4" xr3:uid="{00000000-0010-0000-0000-000004000000}" name="x_email" dataDxfId="85" totalsRowDxfId="37"/>
    <tableColumn id="5" xr3:uid="{00000000-0010-0000-0000-000005000000}" name="x_name" dataDxfId="84" totalsRowDxfId="36"/>
    <tableColumn id="6" xr3:uid="{00000000-0010-0000-0000-000006000000}" name="survey_id" dataDxfId="83" totalsRowDxfId="35"/>
    <tableColumn id="7" xr3:uid="{00000000-0010-0000-0000-000007000000}" name="place" dataDxfId="82" totalsRowDxfId="34"/>
    <tableColumn id="8" xr3:uid="{00000000-0010-0000-0000-000008000000}" name="completion_date"/>
    <tableColumn id="9" xr3:uid="{00000000-0010-0000-0000-000009000000}" name="x_interviewer" dataDxfId="81" totalsRowDxfId="33"/>
    <tableColumn id="10" xr3:uid="{00000000-0010-0000-0000-00000A000000}" name="visits_count" dataDxfId="80" totalsRowDxfId="32"/>
    <tableColumn id="11" xr3:uid="{00000000-0010-0000-0000-00000B000000}" name="main_reason" dataDxfId="79" totalsRowDxfId="31"/>
    <tableColumn id="12" xr3:uid="{00000000-0010-0000-0000-00000C000000}" name="infrastructure_assessment" dataDxfId="78" totalsRowDxfId="30"/>
    <tableColumn id="13" xr3:uid="{00000000-0010-0000-0000-00000D000000}" name="elements_shelters" dataDxfId="77" totalsRowDxfId="29"/>
    <tableColumn id="14" xr3:uid="{00000000-0010-0000-0000-00000E000000}" name="elements_walktrails" dataDxfId="76" totalsRowDxfId="28"/>
    <tableColumn id="15" xr3:uid="{00000000-0010-0000-0000-00000F000000}" name="elements_edupaths" dataDxfId="75" totalsRowDxfId="27"/>
    <tableColumn id="16" xr3:uid="{00000000-0010-0000-0000-000010000000}" name="elements_biketrails" dataDxfId="74" totalsRowDxfId="26"/>
    <tableColumn id="17" xr3:uid="{00000000-0010-0000-0000-000011000000}" name="elements_horsetrails" dataDxfId="73" totalsRowDxfId="25"/>
    <tableColumn id="18" xr3:uid="{00000000-0010-0000-0000-000012000000}" name="elements_viewpoints" dataDxfId="72" totalsRowDxfId="24"/>
    <tableColumn id="19" xr3:uid="{00000000-0010-0000-0000-000013000000}" name="elements_parking" dataDxfId="71" totalsRowDxfId="23"/>
    <tableColumn id="20" xr3:uid="{00000000-0010-0000-0000-000014000000}" name="elements_bins" dataDxfId="70" totalsRowDxfId="22"/>
    <tableColumn id="21" xr3:uid="{00000000-0010-0000-0000-000015000000}" name="elements_toilets" dataDxfId="69" totalsRowDxfId="21"/>
    <tableColumn id="22" xr3:uid="{00000000-0010-0000-0000-000016000000}" name="elements_food" dataDxfId="68" totalsRowDxfId="20"/>
    <tableColumn id="23" xr3:uid="{00000000-0010-0000-0000-000017000000}" name="elements_infoboards" dataDxfId="67" totalsRowDxfId="19"/>
    <tableColumn id="24" xr3:uid="{00000000-0010-0000-0000-000018000000}" name="elements_restspots" dataDxfId="66" totalsRowDxfId="18"/>
    <tableColumn id="50" xr3:uid="{720289E5-357A-4233-9959-83A3FCF3BB83}" name="Kolumna1" dataDxfId="40" totalsRowDxfId="17">
      <calculatedColumnFormula>COUNTA(OfficeForms.Table[[#This Row],[elements_shelters]:[elements_restspots]])</calculatedColumnFormula>
    </tableColumn>
    <tableColumn id="25" xr3:uid="{00000000-0010-0000-0000-000019000000}" name="pnuw_walktrails" totalsRowFunction="custom" dataDxfId="65">
      <totalsRowFormula>Z1</totalsRowFormula>
    </tableColumn>
    <tableColumn id="26" xr3:uid="{00000000-0010-0000-0000-00001A000000}" name="pnuw_edupaths" totalsRowFunction="custom" dataDxfId="64">
      <totalsRowFormula>AA1</totalsRowFormula>
    </tableColumn>
    <tableColumn id="27" xr3:uid="{00000000-0010-0000-0000-00001B000000}" name="pnuw_biketrails" totalsRowFunction="custom" dataDxfId="63">
      <totalsRowFormula>AB1</totalsRowFormula>
    </tableColumn>
    <tableColumn id="28" xr3:uid="{00000000-0010-0000-0000-00001C000000}" name="pnuw_viewpoints" totalsRowFunction="custom" dataDxfId="62">
      <totalsRowFormula>AC1</totalsRowFormula>
    </tableColumn>
    <tableColumn id="29" xr3:uid="{00000000-0010-0000-0000-00001D000000}" name="pnuw_parking" totalsRowFunction="custom" dataDxfId="61">
      <totalsRowFormula>AD1</totalsRowFormula>
    </tableColumn>
    <tableColumn id="30" xr3:uid="{00000000-0010-0000-0000-00001E000000}" name="pnuw_bins" totalsRowFunction="custom" dataDxfId="60">
      <totalsRowFormula>AE1</totalsRowFormula>
    </tableColumn>
    <tableColumn id="31" xr3:uid="{00000000-0010-0000-0000-00001F000000}" name="pnuw_infoboards" totalsRowFunction="custom" dataDxfId="59">
      <totalsRowFormula>AF1</totalsRowFormula>
    </tableColumn>
    <tableColumn id="32" xr3:uid="{00000000-0010-0000-0000-000020000000}" name="pnuw_restspots" totalsRowFunction="custom" dataDxfId="58">
      <totalsRowFormula>AG1</totalsRowFormula>
    </tableColumn>
    <tableColumn id="51" xr3:uid="{5CF2A3B3-A5CA-4342-ADD4-8DB37BA18D19}" name="Kolumna2" dataDxfId="39">
      <calculatedColumnFormula>COUNTA(OfficeForms.Table[[#This Row],[pnuw_walktrails]:[pnuw_restspots]])</calculatedColumnFormula>
    </tableColumn>
    <tableColumn id="33" xr3:uid="{00000000-0010-0000-0000-000021000000}" name="infra_change_suggested" dataDxfId="57" totalsRowDxfId="16"/>
    <tableColumn id="34" xr3:uid="{00000000-0010-0000-0000-000022000000}" name="trail_decision_time" dataDxfId="56" totalsRowDxfId="15"/>
    <tableColumn id="35" xr3:uid="{00000000-0010-0000-0000-000023000000}" name="visited_ome" dataDxfId="55" totalsRowDxfId="14"/>
    <tableColumn id="36" xr3:uid="{00000000-0010-0000-0000-000024000000}" name="it_staff_asked" dataDxfId="54" totalsRowDxfId="13"/>
    <tableColumn id="37" xr3:uid="{00000000-0010-0000-0000-000025000000}" name="it_staff_range" dataDxfId="53" totalsRowDxfId="12"/>
    <tableColumn id="38" xr3:uid="{00000000-0010-0000-0000-000026000000}" name="it_staff_plan_change" dataDxfId="52" totalsRowDxfId="11"/>
    <tableColumn id="39" xr3:uid="{00000000-0010-0000-0000-000027000000}" name="if_staff_what" dataDxfId="51" totalsRowDxfId="10"/>
    <tableColumn id="40" xr3:uid="{00000000-0010-0000-0000-000028000000}" name="it_exhibition_asked" dataDxfId="50" totalsRowDxfId="9"/>
    <tableColumn id="41" xr3:uid="{00000000-0010-0000-0000-000029000000}" name="it_exhibition_range" dataDxfId="49" totalsRowDxfId="8"/>
    <tableColumn id="42" xr3:uid="{00000000-0010-0000-0000-00002A000000}" name="it_exhibition_plan_change" dataDxfId="48" totalsRowDxfId="7"/>
    <tableColumn id="43" xr3:uid="{00000000-0010-0000-0000-00002B000000}" name="if_exhibition_what" dataDxfId="47" totalsRowDxfId="6"/>
    <tableColumn id="44" xr3:uid="{00000000-0010-0000-0000-00002C000000}" name="sex" dataDxfId="46" totalsRowDxfId="5"/>
    <tableColumn id="45" xr3:uid="{00000000-0010-0000-0000-00002D000000}" name="education" dataDxfId="45" totalsRowDxfId="4"/>
    <tableColumn id="46" xr3:uid="{00000000-0010-0000-0000-00002E000000}" name="age" dataDxfId="44" totalsRowDxfId="3"/>
    <tableColumn id="47" xr3:uid="{00000000-0010-0000-0000-00002F000000}" name="residence_town" dataDxfId="43" totalsRowDxfId="2"/>
    <tableColumn id="48" xr3:uid="{00000000-0010-0000-0000-000030000000}" name="residence_county" dataDxfId="42" totalsRowDxfId="1"/>
    <tableColumn id="49" xr3:uid="{00000000-0010-0000-0000-000031000000}" name="comment" dataDxfId="4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74"/>
  <sheetViews>
    <sheetView tabSelected="1" topLeftCell="AK1" zoomScale="55" zoomScaleNormal="55" workbookViewId="0">
      <selection sqref="A1:XFD1"/>
    </sheetView>
  </sheetViews>
  <sheetFormatPr defaultRowHeight="14.4" x14ac:dyDescent="0.3"/>
  <cols>
    <col min="1" max="10" width="20" bestFit="1" customWidth="1"/>
    <col min="11" max="11" width="45.44140625" customWidth="1"/>
    <col min="12" max="12" width="20" bestFit="1" customWidth="1"/>
    <col min="13" max="25" width="7.33203125" customWidth="1"/>
    <col min="26" max="34" width="14.5546875" customWidth="1"/>
    <col min="35" max="35" width="32" customWidth="1"/>
    <col min="36" max="36" width="35.33203125" customWidth="1"/>
    <col min="37" max="40" width="20" bestFit="1" customWidth="1"/>
    <col min="41" max="41" width="25.5546875" customWidth="1"/>
    <col min="42" max="44" width="20" bestFit="1" customWidth="1"/>
    <col min="45" max="45" width="38.109375" customWidth="1"/>
    <col min="46" max="51" width="20" bestFit="1" customWidth="1"/>
  </cols>
  <sheetData>
    <row r="1" spans="1:51" x14ac:dyDescent="0.3">
      <c r="A1" s="9" t="s">
        <v>685</v>
      </c>
      <c r="B1" s="9" t="s">
        <v>686</v>
      </c>
      <c r="C1" s="9" t="s">
        <v>687</v>
      </c>
      <c r="D1" s="9" t="s">
        <v>688</v>
      </c>
      <c r="E1" s="9" t="s">
        <v>689</v>
      </c>
      <c r="F1" s="9" t="s">
        <v>690</v>
      </c>
      <c r="G1" s="9" t="s">
        <v>691</v>
      </c>
      <c r="H1" s="9" t="s">
        <v>692</v>
      </c>
      <c r="I1" s="9" t="s">
        <v>733</v>
      </c>
      <c r="J1" s="9" t="s">
        <v>693</v>
      </c>
      <c r="K1" s="9" t="s">
        <v>694</v>
      </c>
      <c r="L1" s="9" t="s">
        <v>695</v>
      </c>
      <c r="M1" s="9" t="s">
        <v>696</v>
      </c>
      <c r="N1" s="9" t="s">
        <v>697</v>
      </c>
      <c r="O1" s="9" t="s">
        <v>698</v>
      </c>
      <c r="P1" s="9" t="s">
        <v>699</v>
      </c>
      <c r="Q1" s="9" t="s">
        <v>700</v>
      </c>
      <c r="R1" s="9" t="s">
        <v>701</v>
      </c>
      <c r="S1" s="9" t="s">
        <v>702</v>
      </c>
      <c r="T1" s="9" t="s">
        <v>703</v>
      </c>
      <c r="U1" s="9" t="s">
        <v>704</v>
      </c>
      <c r="V1" s="9" t="s">
        <v>705</v>
      </c>
      <c r="W1" s="9" t="s">
        <v>706</v>
      </c>
      <c r="X1" s="9" t="s">
        <v>707</v>
      </c>
      <c r="Y1" s="9" t="s">
        <v>735</v>
      </c>
      <c r="Z1" s="9" t="s">
        <v>708</v>
      </c>
      <c r="AA1" s="9" t="s">
        <v>709</v>
      </c>
      <c r="AB1" s="9" t="s">
        <v>710</v>
      </c>
      <c r="AC1" s="9" t="s">
        <v>711</v>
      </c>
      <c r="AD1" s="9" t="s">
        <v>712</v>
      </c>
      <c r="AE1" s="9" t="s">
        <v>713</v>
      </c>
      <c r="AF1" s="9" t="s">
        <v>714</v>
      </c>
      <c r="AG1" s="9" t="s">
        <v>715</v>
      </c>
      <c r="AH1" s="9" t="s">
        <v>736</v>
      </c>
      <c r="AI1" s="9" t="s">
        <v>716</v>
      </c>
      <c r="AJ1" s="9" t="s">
        <v>717</v>
      </c>
      <c r="AK1" s="9" t="s">
        <v>718</v>
      </c>
      <c r="AL1" s="9" t="s">
        <v>719</v>
      </c>
      <c r="AM1" s="9" t="s">
        <v>720</v>
      </c>
      <c r="AN1" s="9" t="s">
        <v>721</v>
      </c>
      <c r="AO1" s="9" t="s">
        <v>722</v>
      </c>
      <c r="AP1" s="9" t="s">
        <v>723</v>
      </c>
      <c r="AQ1" s="9" t="s">
        <v>724</v>
      </c>
      <c r="AR1" s="9" t="s">
        <v>725</v>
      </c>
      <c r="AS1" s="9" t="s">
        <v>726</v>
      </c>
      <c r="AT1" s="9" t="s">
        <v>727</v>
      </c>
      <c r="AU1" s="9" t="s">
        <v>728</v>
      </c>
      <c r="AV1" s="9" t="s">
        <v>729</v>
      </c>
      <c r="AW1" s="9" t="s">
        <v>730</v>
      </c>
      <c r="AX1" s="9" t="s">
        <v>731</v>
      </c>
      <c r="AY1" s="9" t="s">
        <v>732</v>
      </c>
    </row>
    <row r="2" spans="1:51" hidden="1" x14ac:dyDescent="0.3">
      <c r="A2">
        <v>1</v>
      </c>
      <c r="B2" s="3">
        <v>45851.455763888887</v>
      </c>
      <c r="C2" s="3">
        <v>45851.457395833335</v>
      </c>
      <c r="D2" t="s">
        <v>49</v>
      </c>
      <c r="E2" t="s">
        <v>50</v>
      </c>
      <c r="F2" s="1" t="s">
        <v>51</v>
      </c>
      <c r="G2" t="s">
        <v>52</v>
      </c>
      <c r="H2" s="2">
        <v>45816</v>
      </c>
      <c r="I2" t="s">
        <v>53</v>
      </c>
      <c r="J2" t="s">
        <v>54</v>
      </c>
      <c r="K2" t="s">
        <v>55</v>
      </c>
      <c r="L2" t="s">
        <v>56</v>
      </c>
      <c r="M2">
        <v>8</v>
      </c>
      <c r="N2">
        <v>1</v>
      </c>
      <c r="O2">
        <v>2</v>
      </c>
      <c r="P2">
        <v>9</v>
      </c>
      <c r="Q2">
        <v>11</v>
      </c>
      <c r="R2">
        <v>7</v>
      </c>
      <c r="S2">
        <v>3</v>
      </c>
      <c r="T2">
        <v>4</v>
      </c>
      <c r="U2">
        <v>10</v>
      </c>
      <c r="V2">
        <v>12</v>
      </c>
      <c r="W2">
        <v>5</v>
      </c>
      <c r="X2">
        <v>6</v>
      </c>
      <c r="Y2">
        <f>COUNTA(OfficeForms.Table[[#This Row],[elements_shelters]:[elements_restspots]])</f>
        <v>12</v>
      </c>
      <c r="Z2">
        <v>4</v>
      </c>
      <c r="AA2">
        <v>2</v>
      </c>
      <c r="AB2">
        <v>5</v>
      </c>
      <c r="AC2">
        <v>3</v>
      </c>
      <c r="AD2">
        <v>8</v>
      </c>
      <c r="AE2">
        <v>6</v>
      </c>
      <c r="AF2">
        <v>1</v>
      </c>
      <c r="AG2">
        <v>7</v>
      </c>
      <c r="AH2">
        <f>COUNTA(OfficeForms.Table[[#This Row],[pnuw_walktrails]:[pnuw_restspots]])</f>
        <v>8</v>
      </c>
      <c r="AI2" t="s">
        <v>57</v>
      </c>
      <c r="AJ2" t="s">
        <v>58</v>
      </c>
      <c r="AK2" t="s">
        <v>59</v>
      </c>
      <c r="AL2" t="s">
        <v>60</v>
      </c>
      <c r="AN2" t="s">
        <v>61</v>
      </c>
      <c r="AP2" t="s">
        <v>59</v>
      </c>
      <c r="AQ2" t="s">
        <v>62</v>
      </c>
      <c r="AR2" t="s">
        <v>61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  <c r="AY2" s="1" t="s">
        <v>51</v>
      </c>
    </row>
    <row r="3" spans="1:51" hidden="1" x14ac:dyDescent="0.3">
      <c r="A3">
        <v>2</v>
      </c>
      <c r="B3" s="3">
        <v>45851.457499999997</v>
      </c>
      <c r="C3" s="3">
        <v>45851.459733796299</v>
      </c>
      <c r="D3" t="s">
        <v>49</v>
      </c>
      <c r="E3" t="s">
        <v>50</v>
      </c>
      <c r="F3" s="1" t="s">
        <v>68</v>
      </c>
      <c r="G3" t="s">
        <v>52</v>
      </c>
      <c r="H3" s="2">
        <v>45816</v>
      </c>
      <c r="I3" t="s">
        <v>53</v>
      </c>
      <c r="J3" t="s">
        <v>69</v>
      </c>
      <c r="K3" t="s">
        <v>55</v>
      </c>
      <c r="L3" t="s">
        <v>70</v>
      </c>
      <c r="M3">
        <v>3</v>
      </c>
      <c r="N3">
        <v>1</v>
      </c>
      <c r="O3">
        <v>2</v>
      </c>
      <c r="P3">
        <v>10</v>
      </c>
      <c r="Q3">
        <v>11</v>
      </c>
      <c r="R3">
        <v>7</v>
      </c>
      <c r="S3">
        <v>8</v>
      </c>
      <c r="T3">
        <v>6</v>
      </c>
      <c r="U3">
        <v>5</v>
      </c>
      <c r="V3">
        <v>12</v>
      </c>
      <c r="W3">
        <v>4</v>
      </c>
      <c r="X3">
        <v>9</v>
      </c>
      <c r="Y3">
        <f>COUNTA(OfficeForms.Table[[#This Row],[elements_shelters]:[elements_restspots]])</f>
        <v>12</v>
      </c>
      <c r="Z3">
        <v>1</v>
      </c>
      <c r="AA3">
        <v>2</v>
      </c>
      <c r="AB3">
        <v>4</v>
      </c>
      <c r="AC3">
        <v>5</v>
      </c>
      <c r="AD3">
        <v>7</v>
      </c>
      <c r="AE3">
        <v>6</v>
      </c>
      <c r="AF3">
        <v>3</v>
      </c>
      <c r="AG3">
        <v>8</v>
      </c>
      <c r="AH3">
        <f>COUNTA(OfficeForms.Table[[#This Row],[pnuw_walktrails]:[pnuw_restspots]])</f>
        <v>8</v>
      </c>
      <c r="AI3" t="s">
        <v>71</v>
      </c>
      <c r="AJ3" t="s">
        <v>72</v>
      </c>
      <c r="AK3" t="s">
        <v>60</v>
      </c>
      <c r="AT3" t="s">
        <v>63</v>
      </c>
      <c r="AU3" t="s">
        <v>73</v>
      </c>
      <c r="AV3" t="s">
        <v>74</v>
      </c>
      <c r="AW3" t="s">
        <v>75</v>
      </c>
      <c r="AX3" t="s">
        <v>76</v>
      </c>
      <c r="AY3" s="1" t="s">
        <v>68</v>
      </c>
    </row>
    <row r="4" spans="1:51" hidden="1" x14ac:dyDescent="0.3">
      <c r="A4">
        <v>3</v>
      </c>
      <c r="B4" s="3">
        <v>45851.460196759261</v>
      </c>
      <c r="C4" s="3">
        <v>45851.461793981478</v>
      </c>
      <c r="D4" t="s">
        <v>49</v>
      </c>
      <c r="E4" t="s">
        <v>50</v>
      </c>
      <c r="F4" s="1" t="s">
        <v>77</v>
      </c>
      <c r="G4" t="s">
        <v>52</v>
      </c>
      <c r="H4" s="2">
        <v>45816</v>
      </c>
      <c r="I4" t="s">
        <v>53</v>
      </c>
      <c r="J4" t="s">
        <v>69</v>
      </c>
      <c r="K4" t="s">
        <v>78</v>
      </c>
      <c r="L4" t="s">
        <v>56</v>
      </c>
      <c r="M4">
        <v>11</v>
      </c>
      <c r="N4">
        <v>3</v>
      </c>
      <c r="O4">
        <v>2</v>
      </c>
      <c r="P4">
        <v>4</v>
      </c>
      <c r="Q4">
        <v>10</v>
      </c>
      <c r="R4">
        <v>9</v>
      </c>
      <c r="S4">
        <v>5</v>
      </c>
      <c r="T4">
        <v>7</v>
      </c>
      <c r="U4">
        <v>6</v>
      </c>
      <c r="V4">
        <v>12</v>
      </c>
      <c r="W4">
        <v>1</v>
      </c>
      <c r="X4">
        <v>8</v>
      </c>
      <c r="Y4">
        <f>COUNTA(OfficeForms.Table[[#This Row],[elements_shelters]:[elements_restspots]])</f>
        <v>12</v>
      </c>
      <c r="Z4">
        <v>5</v>
      </c>
      <c r="AA4">
        <v>4</v>
      </c>
      <c r="AB4">
        <v>6</v>
      </c>
      <c r="AC4">
        <v>1</v>
      </c>
      <c r="AD4">
        <v>7</v>
      </c>
      <c r="AE4">
        <v>8</v>
      </c>
      <c r="AF4">
        <v>2</v>
      </c>
      <c r="AG4">
        <v>3</v>
      </c>
      <c r="AH4">
        <f>COUNTA(OfficeForms.Table[[#This Row],[pnuw_walktrails]:[pnuw_restspots]])</f>
        <v>8</v>
      </c>
      <c r="AI4" t="s">
        <v>79</v>
      </c>
      <c r="AJ4" t="s">
        <v>80</v>
      </c>
      <c r="AK4" t="s">
        <v>60</v>
      </c>
      <c r="AT4" t="s">
        <v>81</v>
      </c>
      <c r="AU4" t="s">
        <v>73</v>
      </c>
      <c r="AV4" t="s">
        <v>82</v>
      </c>
      <c r="AW4" t="s">
        <v>83</v>
      </c>
      <c r="AX4" t="s">
        <v>67</v>
      </c>
      <c r="AY4" s="1" t="s">
        <v>77</v>
      </c>
    </row>
    <row r="5" spans="1:51" hidden="1" x14ac:dyDescent="0.3">
      <c r="A5">
        <v>4</v>
      </c>
      <c r="B5" s="3">
        <v>45851.461817129632</v>
      </c>
      <c r="C5" s="3">
        <v>45851.463969907411</v>
      </c>
      <c r="D5" t="s">
        <v>49</v>
      </c>
      <c r="E5" t="s">
        <v>50</v>
      </c>
      <c r="F5" s="1" t="s">
        <v>84</v>
      </c>
      <c r="G5" t="s">
        <v>52</v>
      </c>
      <c r="H5" s="2">
        <v>45816</v>
      </c>
      <c r="I5" t="s">
        <v>53</v>
      </c>
      <c r="J5" t="s">
        <v>85</v>
      </c>
      <c r="K5" t="s">
        <v>78</v>
      </c>
      <c r="L5" t="s">
        <v>86</v>
      </c>
      <c r="M5">
        <v>11</v>
      </c>
      <c r="N5">
        <v>2</v>
      </c>
      <c r="O5">
        <v>5</v>
      </c>
      <c r="P5">
        <v>6</v>
      </c>
      <c r="Q5">
        <v>12</v>
      </c>
      <c r="R5">
        <v>1</v>
      </c>
      <c r="S5">
        <v>7</v>
      </c>
      <c r="T5">
        <v>10</v>
      </c>
      <c r="U5">
        <v>3</v>
      </c>
      <c r="V5">
        <v>9</v>
      </c>
      <c r="W5">
        <v>4</v>
      </c>
      <c r="X5">
        <v>8</v>
      </c>
      <c r="Y5">
        <f>COUNTA(OfficeForms.Table[[#This Row],[elements_shelters]:[elements_restspots]])</f>
        <v>12</v>
      </c>
      <c r="Z5">
        <v>1</v>
      </c>
      <c r="AA5">
        <v>5</v>
      </c>
      <c r="AB5">
        <v>6</v>
      </c>
      <c r="AC5">
        <v>2</v>
      </c>
      <c r="AD5">
        <v>7</v>
      </c>
      <c r="AE5">
        <v>8</v>
      </c>
      <c r="AF5">
        <v>3</v>
      </c>
      <c r="AG5">
        <v>4</v>
      </c>
      <c r="AH5">
        <f>COUNTA(OfficeForms.Table[[#This Row],[pnuw_walktrails]:[pnuw_restspots]])</f>
        <v>8</v>
      </c>
      <c r="AI5" t="s">
        <v>87</v>
      </c>
      <c r="AJ5" t="s">
        <v>88</v>
      </c>
      <c r="AK5" t="s">
        <v>59</v>
      </c>
      <c r="AL5" t="s">
        <v>60</v>
      </c>
      <c r="AN5" t="s">
        <v>61</v>
      </c>
      <c r="AP5" t="s">
        <v>59</v>
      </c>
      <c r="AQ5" t="s">
        <v>89</v>
      </c>
      <c r="AR5" t="s">
        <v>61</v>
      </c>
      <c r="AT5" t="s">
        <v>63</v>
      </c>
      <c r="AU5" t="s">
        <v>73</v>
      </c>
      <c r="AV5" t="s">
        <v>74</v>
      </c>
      <c r="AW5" t="s">
        <v>90</v>
      </c>
      <c r="AX5" t="s">
        <v>76</v>
      </c>
      <c r="AY5" s="1" t="s">
        <v>84</v>
      </c>
    </row>
    <row r="6" spans="1:51" hidden="1" x14ac:dyDescent="0.3">
      <c r="A6">
        <v>5</v>
      </c>
      <c r="B6" s="3">
        <v>45851.463993055557</v>
      </c>
      <c r="C6" s="3">
        <v>45851.465810185182</v>
      </c>
      <c r="D6" t="s">
        <v>49</v>
      </c>
      <c r="E6" t="s">
        <v>50</v>
      </c>
      <c r="F6" s="1" t="s">
        <v>91</v>
      </c>
      <c r="G6" t="s">
        <v>52</v>
      </c>
      <c r="H6" s="2">
        <v>45815</v>
      </c>
      <c r="I6" t="s">
        <v>53</v>
      </c>
      <c r="J6" t="s">
        <v>85</v>
      </c>
      <c r="K6" t="s">
        <v>78</v>
      </c>
      <c r="L6" t="s">
        <v>56</v>
      </c>
      <c r="M6">
        <v>9</v>
      </c>
      <c r="N6">
        <v>4</v>
      </c>
      <c r="O6">
        <v>10</v>
      </c>
      <c r="P6">
        <v>11</v>
      </c>
      <c r="Q6">
        <v>12</v>
      </c>
      <c r="R6">
        <v>5</v>
      </c>
      <c r="S6">
        <v>2</v>
      </c>
      <c r="T6">
        <v>7</v>
      </c>
      <c r="U6">
        <v>3</v>
      </c>
      <c r="V6">
        <v>8</v>
      </c>
      <c r="W6">
        <v>1</v>
      </c>
      <c r="X6">
        <v>6</v>
      </c>
      <c r="Y6">
        <f>COUNTA(OfficeForms.Table[[#This Row],[elements_shelters]:[elements_restspots]])</f>
        <v>12</v>
      </c>
      <c r="Z6">
        <v>3</v>
      </c>
      <c r="AA6">
        <v>7</v>
      </c>
      <c r="AB6">
        <v>8</v>
      </c>
      <c r="AC6">
        <v>4</v>
      </c>
      <c r="AD6">
        <v>1</v>
      </c>
      <c r="AE6">
        <v>2</v>
      </c>
      <c r="AF6">
        <v>5</v>
      </c>
      <c r="AG6">
        <v>6</v>
      </c>
      <c r="AH6">
        <f>COUNTA(OfficeForms.Table[[#This Row],[pnuw_walktrails]:[pnuw_restspots]])</f>
        <v>8</v>
      </c>
      <c r="AI6" t="s">
        <v>92</v>
      </c>
      <c r="AJ6" t="s">
        <v>88</v>
      </c>
      <c r="AK6" t="s">
        <v>59</v>
      </c>
      <c r="AL6" t="s">
        <v>59</v>
      </c>
      <c r="AM6" t="s">
        <v>93</v>
      </c>
      <c r="AN6" t="s">
        <v>61</v>
      </c>
      <c r="AP6" t="s">
        <v>59</v>
      </c>
      <c r="AQ6" t="s">
        <v>94</v>
      </c>
      <c r="AR6" t="s">
        <v>61</v>
      </c>
      <c r="AT6" t="s">
        <v>63</v>
      </c>
      <c r="AU6" t="s">
        <v>64</v>
      </c>
      <c r="AV6" t="s">
        <v>65</v>
      </c>
      <c r="AW6" t="s">
        <v>95</v>
      </c>
      <c r="AX6" t="s">
        <v>96</v>
      </c>
      <c r="AY6" s="1" t="s">
        <v>91</v>
      </c>
    </row>
    <row r="7" spans="1:51" hidden="1" x14ac:dyDescent="0.3">
      <c r="A7">
        <v>6</v>
      </c>
      <c r="B7" s="3">
        <v>45851.465868055559</v>
      </c>
      <c r="C7" s="3">
        <v>45851.468043981484</v>
      </c>
      <c r="D7" t="s">
        <v>49</v>
      </c>
      <c r="E7" t="s">
        <v>50</v>
      </c>
      <c r="F7" s="1" t="s">
        <v>97</v>
      </c>
      <c r="G7" t="s">
        <v>52</v>
      </c>
      <c r="H7" s="2">
        <v>45815</v>
      </c>
      <c r="I7" t="s">
        <v>53</v>
      </c>
      <c r="J7" t="s">
        <v>85</v>
      </c>
      <c r="K7" t="s">
        <v>78</v>
      </c>
      <c r="L7" t="s">
        <v>56</v>
      </c>
      <c r="M7">
        <v>12</v>
      </c>
      <c r="N7">
        <v>1</v>
      </c>
      <c r="O7">
        <v>2</v>
      </c>
      <c r="P7">
        <v>9</v>
      </c>
      <c r="Q7">
        <v>10</v>
      </c>
      <c r="R7">
        <v>3</v>
      </c>
      <c r="S7">
        <v>4</v>
      </c>
      <c r="T7">
        <v>5</v>
      </c>
      <c r="U7">
        <v>6</v>
      </c>
      <c r="V7">
        <v>7</v>
      </c>
      <c r="W7">
        <v>11</v>
      </c>
      <c r="X7">
        <v>8</v>
      </c>
      <c r="Y7">
        <f>COUNTA(OfficeForms.Table[[#This Row],[elements_shelters]:[elements_restspots]])</f>
        <v>12</v>
      </c>
      <c r="Z7">
        <v>1</v>
      </c>
      <c r="AA7">
        <v>2</v>
      </c>
      <c r="AB7">
        <v>6</v>
      </c>
      <c r="AC7">
        <v>3</v>
      </c>
      <c r="AD7">
        <v>4</v>
      </c>
      <c r="AE7">
        <v>5</v>
      </c>
      <c r="AF7">
        <v>8</v>
      </c>
      <c r="AG7">
        <v>7</v>
      </c>
      <c r="AH7">
        <f>COUNTA(OfficeForms.Table[[#This Row],[pnuw_walktrails]:[pnuw_restspots]])</f>
        <v>8</v>
      </c>
      <c r="AI7" t="s">
        <v>92</v>
      </c>
      <c r="AJ7" t="s">
        <v>88</v>
      </c>
      <c r="AK7" t="s">
        <v>59</v>
      </c>
      <c r="AL7" t="s">
        <v>59</v>
      </c>
      <c r="AM7" t="s">
        <v>98</v>
      </c>
      <c r="AN7" t="s">
        <v>61</v>
      </c>
      <c r="AP7" t="s">
        <v>59</v>
      </c>
      <c r="AQ7" t="s">
        <v>94</v>
      </c>
      <c r="AR7" t="s">
        <v>61</v>
      </c>
      <c r="AT7" t="s">
        <v>63</v>
      </c>
      <c r="AU7" t="s">
        <v>73</v>
      </c>
      <c r="AV7" t="s">
        <v>99</v>
      </c>
      <c r="AW7" t="s">
        <v>100</v>
      </c>
      <c r="AX7" t="s">
        <v>101</v>
      </c>
      <c r="AY7" s="1" t="s">
        <v>97</v>
      </c>
    </row>
    <row r="8" spans="1:51" hidden="1" x14ac:dyDescent="0.3">
      <c r="A8">
        <v>7</v>
      </c>
      <c r="B8" s="3">
        <v>45851.468078703707</v>
      </c>
      <c r="C8" s="3">
        <v>45851.470057870371</v>
      </c>
      <c r="D8" t="s">
        <v>49</v>
      </c>
      <c r="E8" t="s">
        <v>50</v>
      </c>
      <c r="F8" s="1" t="s">
        <v>102</v>
      </c>
      <c r="G8" t="s">
        <v>52</v>
      </c>
      <c r="H8" s="2">
        <v>45814</v>
      </c>
      <c r="I8" t="s">
        <v>53</v>
      </c>
      <c r="J8" t="s">
        <v>54</v>
      </c>
      <c r="K8" t="s">
        <v>103</v>
      </c>
      <c r="L8" t="s">
        <v>56</v>
      </c>
      <c r="M8">
        <v>4</v>
      </c>
      <c r="N8">
        <v>6</v>
      </c>
      <c r="O8">
        <v>10</v>
      </c>
      <c r="P8">
        <v>1</v>
      </c>
      <c r="Q8">
        <v>12</v>
      </c>
      <c r="R8">
        <v>2</v>
      </c>
      <c r="S8">
        <v>8</v>
      </c>
      <c r="T8">
        <v>11</v>
      </c>
      <c r="U8">
        <v>9</v>
      </c>
      <c r="V8">
        <v>5</v>
      </c>
      <c r="W8">
        <v>7</v>
      </c>
      <c r="X8">
        <v>3</v>
      </c>
      <c r="Y8">
        <f>COUNTA(OfficeForms.Table[[#This Row],[elements_shelters]:[elements_restspots]])</f>
        <v>12</v>
      </c>
      <c r="Z8">
        <v>5</v>
      </c>
      <c r="AA8">
        <v>8</v>
      </c>
      <c r="AB8">
        <v>3</v>
      </c>
      <c r="AC8">
        <v>1</v>
      </c>
      <c r="AD8">
        <v>6</v>
      </c>
      <c r="AE8">
        <v>7</v>
      </c>
      <c r="AF8">
        <v>4</v>
      </c>
      <c r="AG8">
        <v>2</v>
      </c>
      <c r="AH8">
        <f>COUNTA(OfficeForms.Table[[#This Row],[pnuw_walktrails]:[pnuw_restspots]])</f>
        <v>8</v>
      </c>
      <c r="AI8" t="s">
        <v>104</v>
      </c>
      <c r="AJ8" t="s">
        <v>80</v>
      </c>
      <c r="AK8" t="s">
        <v>60</v>
      </c>
      <c r="AT8" t="s">
        <v>81</v>
      </c>
      <c r="AU8" t="s">
        <v>64</v>
      </c>
      <c r="AV8" t="s">
        <v>65</v>
      </c>
      <c r="AW8" t="s">
        <v>75</v>
      </c>
      <c r="AX8" t="s">
        <v>76</v>
      </c>
      <c r="AY8" s="1" t="s">
        <v>102</v>
      </c>
    </row>
    <row r="9" spans="1:51" hidden="1" x14ac:dyDescent="0.3">
      <c r="A9">
        <v>8</v>
      </c>
      <c r="B9" s="3">
        <v>45851.470150462963</v>
      </c>
      <c r="C9" s="3">
        <v>45851.471446759257</v>
      </c>
      <c r="D9" t="s">
        <v>49</v>
      </c>
      <c r="E9" t="s">
        <v>50</v>
      </c>
      <c r="F9" s="1" t="s">
        <v>105</v>
      </c>
      <c r="G9" t="s">
        <v>52</v>
      </c>
      <c r="H9" s="2">
        <v>45813</v>
      </c>
      <c r="I9" t="s">
        <v>53</v>
      </c>
      <c r="J9" t="s">
        <v>85</v>
      </c>
      <c r="K9" t="s">
        <v>78</v>
      </c>
      <c r="L9" t="s">
        <v>70</v>
      </c>
      <c r="M9">
        <v>8</v>
      </c>
      <c r="N9">
        <v>9</v>
      </c>
      <c r="O9">
        <v>1</v>
      </c>
      <c r="P9">
        <v>4</v>
      </c>
      <c r="Q9">
        <v>10</v>
      </c>
      <c r="R9">
        <v>3</v>
      </c>
      <c r="S9">
        <v>6</v>
      </c>
      <c r="T9">
        <v>12</v>
      </c>
      <c r="U9">
        <v>2</v>
      </c>
      <c r="V9">
        <v>11</v>
      </c>
      <c r="W9">
        <v>5</v>
      </c>
      <c r="X9">
        <v>7</v>
      </c>
      <c r="Y9">
        <f>COUNTA(OfficeForms.Table[[#This Row],[elements_shelters]:[elements_restspots]])</f>
        <v>12</v>
      </c>
      <c r="Z9">
        <v>1</v>
      </c>
      <c r="AA9">
        <v>4</v>
      </c>
      <c r="AB9">
        <v>3</v>
      </c>
      <c r="AC9">
        <v>2</v>
      </c>
      <c r="AD9">
        <v>5</v>
      </c>
      <c r="AE9">
        <v>8</v>
      </c>
      <c r="AF9">
        <v>7</v>
      </c>
      <c r="AG9">
        <v>6</v>
      </c>
      <c r="AH9">
        <f>COUNTA(OfficeForms.Table[[#This Row],[pnuw_walktrails]:[pnuw_restspots]])</f>
        <v>8</v>
      </c>
      <c r="AI9" t="s">
        <v>106</v>
      </c>
      <c r="AJ9" t="s">
        <v>72</v>
      </c>
      <c r="AK9" t="s">
        <v>60</v>
      </c>
      <c r="AT9" t="s">
        <v>81</v>
      </c>
      <c r="AU9" t="s">
        <v>73</v>
      </c>
      <c r="AV9" t="s">
        <v>82</v>
      </c>
      <c r="AW9" t="s">
        <v>83</v>
      </c>
      <c r="AX9" t="s">
        <v>67</v>
      </c>
      <c r="AY9" s="1" t="s">
        <v>105</v>
      </c>
    </row>
    <row r="10" spans="1:51" hidden="1" x14ac:dyDescent="0.3">
      <c r="A10">
        <v>9</v>
      </c>
      <c r="B10" s="3">
        <v>45851.47148148148</v>
      </c>
      <c r="C10" s="3">
        <v>45851.473611111112</v>
      </c>
      <c r="D10" t="s">
        <v>49</v>
      </c>
      <c r="E10" t="s">
        <v>50</v>
      </c>
      <c r="F10" s="1" t="s">
        <v>107</v>
      </c>
      <c r="G10" t="s">
        <v>52</v>
      </c>
      <c r="H10" s="2">
        <v>45813</v>
      </c>
      <c r="I10" t="s">
        <v>53</v>
      </c>
      <c r="J10" t="s">
        <v>54</v>
      </c>
      <c r="K10" t="s">
        <v>55</v>
      </c>
      <c r="L10" t="s">
        <v>86</v>
      </c>
      <c r="M10">
        <v>9</v>
      </c>
      <c r="N10">
        <v>2</v>
      </c>
      <c r="O10">
        <v>1</v>
      </c>
      <c r="P10">
        <v>12</v>
      </c>
      <c r="Q10">
        <v>11</v>
      </c>
      <c r="R10">
        <v>10</v>
      </c>
      <c r="S10">
        <v>4</v>
      </c>
      <c r="T10">
        <v>6</v>
      </c>
      <c r="U10">
        <v>7</v>
      </c>
      <c r="V10">
        <v>8</v>
      </c>
      <c r="W10">
        <v>3</v>
      </c>
      <c r="X10">
        <v>5</v>
      </c>
      <c r="Y10">
        <f>COUNTA(OfficeForms.Table[[#This Row],[elements_shelters]:[elements_restspots]])</f>
        <v>12</v>
      </c>
      <c r="Z10">
        <v>2</v>
      </c>
      <c r="AA10">
        <v>1</v>
      </c>
      <c r="AB10">
        <v>6</v>
      </c>
      <c r="AC10">
        <v>3</v>
      </c>
      <c r="AD10">
        <v>7</v>
      </c>
      <c r="AE10">
        <v>8</v>
      </c>
      <c r="AF10">
        <v>4</v>
      </c>
      <c r="AG10">
        <v>5</v>
      </c>
      <c r="AH10">
        <f>COUNTA(OfficeForms.Table[[#This Row],[pnuw_walktrails]:[pnuw_restspots]])</f>
        <v>8</v>
      </c>
      <c r="AI10" t="s">
        <v>106</v>
      </c>
      <c r="AJ10" t="s">
        <v>88</v>
      </c>
      <c r="AK10" t="s">
        <v>60</v>
      </c>
      <c r="AT10" t="s">
        <v>81</v>
      </c>
      <c r="AU10" t="s">
        <v>108</v>
      </c>
      <c r="AV10" t="s">
        <v>65</v>
      </c>
      <c r="AW10" t="s">
        <v>75</v>
      </c>
      <c r="AX10" t="s">
        <v>76</v>
      </c>
      <c r="AY10" s="1" t="s">
        <v>107</v>
      </c>
    </row>
    <row r="11" spans="1:51" hidden="1" x14ac:dyDescent="0.3">
      <c r="A11">
        <v>10</v>
      </c>
      <c r="B11" s="3">
        <v>45851.473692129628</v>
      </c>
      <c r="C11" s="3">
        <v>45851.475729166668</v>
      </c>
      <c r="D11" t="s">
        <v>49</v>
      </c>
      <c r="E11" t="s">
        <v>50</v>
      </c>
      <c r="F11" s="1" t="s">
        <v>109</v>
      </c>
      <c r="G11" t="s">
        <v>52</v>
      </c>
      <c r="H11" s="2">
        <v>45811</v>
      </c>
      <c r="I11" t="s">
        <v>53</v>
      </c>
      <c r="J11" t="s">
        <v>54</v>
      </c>
      <c r="K11" t="s">
        <v>55</v>
      </c>
      <c r="L11" t="s">
        <v>86</v>
      </c>
      <c r="M11">
        <v>3</v>
      </c>
      <c r="N11">
        <v>1</v>
      </c>
      <c r="O11">
        <v>11</v>
      </c>
      <c r="P11">
        <v>2</v>
      </c>
      <c r="Q11">
        <v>12</v>
      </c>
      <c r="R11">
        <v>4</v>
      </c>
      <c r="S11">
        <v>7</v>
      </c>
      <c r="T11">
        <v>6</v>
      </c>
      <c r="U11">
        <v>5</v>
      </c>
      <c r="V11">
        <v>10</v>
      </c>
      <c r="W11">
        <v>8</v>
      </c>
      <c r="X11">
        <v>9</v>
      </c>
      <c r="Y11">
        <f>COUNTA(OfficeForms.Table[[#This Row],[elements_shelters]:[elements_restspots]])</f>
        <v>12</v>
      </c>
      <c r="Z11">
        <v>2</v>
      </c>
      <c r="AA11">
        <v>8</v>
      </c>
      <c r="AB11">
        <v>1</v>
      </c>
      <c r="AC11">
        <v>3</v>
      </c>
      <c r="AD11">
        <v>7</v>
      </c>
      <c r="AE11">
        <v>5</v>
      </c>
      <c r="AF11">
        <v>6</v>
      </c>
      <c r="AG11">
        <v>4</v>
      </c>
      <c r="AH11">
        <f>COUNTA(OfficeForms.Table[[#This Row],[pnuw_walktrails]:[pnuw_restspots]])</f>
        <v>8</v>
      </c>
      <c r="AI11" t="s">
        <v>110</v>
      </c>
      <c r="AJ11" t="s">
        <v>72</v>
      </c>
      <c r="AK11" t="s">
        <v>59</v>
      </c>
      <c r="AL11" t="s">
        <v>60</v>
      </c>
      <c r="AN11" t="s">
        <v>111</v>
      </c>
      <c r="AP11" t="s">
        <v>59</v>
      </c>
      <c r="AQ11" t="s">
        <v>98</v>
      </c>
      <c r="AR11" t="s">
        <v>61</v>
      </c>
      <c r="AT11" t="s">
        <v>63</v>
      </c>
      <c r="AU11" t="s">
        <v>64</v>
      </c>
      <c r="AV11" t="s">
        <v>65</v>
      </c>
      <c r="AW11" t="s">
        <v>112</v>
      </c>
      <c r="AX11" t="s">
        <v>76</v>
      </c>
      <c r="AY11" s="1" t="s">
        <v>109</v>
      </c>
    </row>
    <row r="12" spans="1:51" hidden="1" x14ac:dyDescent="0.3">
      <c r="A12">
        <v>11</v>
      </c>
      <c r="B12" s="3">
        <v>45851.475752314815</v>
      </c>
      <c r="C12" s="3">
        <v>45851.486307870371</v>
      </c>
      <c r="D12" t="s">
        <v>49</v>
      </c>
      <c r="E12" t="s">
        <v>50</v>
      </c>
      <c r="F12" s="1" t="s">
        <v>113</v>
      </c>
      <c r="G12" t="s">
        <v>52</v>
      </c>
      <c r="H12" s="2">
        <v>45810</v>
      </c>
      <c r="I12" t="s">
        <v>53</v>
      </c>
      <c r="J12" t="s">
        <v>54</v>
      </c>
      <c r="K12" t="s">
        <v>103</v>
      </c>
      <c r="L12" t="s">
        <v>70</v>
      </c>
      <c r="P12">
        <v>1</v>
      </c>
      <c r="Y12">
        <f>COUNTA(OfficeForms.Table[[#This Row],[elements_shelters]:[elements_restspots]])</f>
        <v>1</v>
      </c>
      <c r="AC12">
        <v>1</v>
      </c>
      <c r="AH12">
        <f>COUNTA(OfficeForms.Table[[#This Row],[pnuw_walktrails]:[pnuw_restspots]])</f>
        <v>1</v>
      </c>
      <c r="AI12" t="s">
        <v>106</v>
      </c>
      <c r="AJ12" t="s">
        <v>80</v>
      </c>
      <c r="AK12" t="s">
        <v>59</v>
      </c>
      <c r="AL12" t="s">
        <v>59</v>
      </c>
      <c r="AM12" t="s">
        <v>98</v>
      </c>
      <c r="AN12" t="s">
        <v>61</v>
      </c>
      <c r="AP12" t="s">
        <v>59</v>
      </c>
      <c r="AQ12" t="s">
        <v>93</v>
      </c>
      <c r="AR12" t="s">
        <v>61</v>
      </c>
      <c r="AT12" t="s">
        <v>81</v>
      </c>
      <c r="AU12" t="s">
        <v>64</v>
      </c>
      <c r="AV12" t="s">
        <v>82</v>
      </c>
      <c r="AW12" t="s">
        <v>114</v>
      </c>
      <c r="AX12" t="s">
        <v>115</v>
      </c>
      <c r="AY12" s="1" t="s">
        <v>113</v>
      </c>
    </row>
    <row r="13" spans="1:51" hidden="1" x14ac:dyDescent="0.3">
      <c r="A13">
        <v>12</v>
      </c>
      <c r="B13" s="3">
        <v>45851.487650462965</v>
      </c>
      <c r="C13" s="3">
        <v>45851.487800925926</v>
      </c>
      <c r="D13" t="s">
        <v>49</v>
      </c>
      <c r="E13" t="s">
        <v>50</v>
      </c>
      <c r="F13" s="1" t="s">
        <v>116</v>
      </c>
      <c r="G13" t="s">
        <v>52</v>
      </c>
      <c r="H13" s="2">
        <v>45810</v>
      </c>
      <c r="I13" t="s">
        <v>53</v>
      </c>
      <c r="J13" t="s">
        <v>54</v>
      </c>
      <c r="K13" t="s">
        <v>55</v>
      </c>
      <c r="L13" t="s">
        <v>70</v>
      </c>
      <c r="N13">
        <v>1</v>
      </c>
      <c r="R13">
        <v>2</v>
      </c>
      <c r="Y13">
        <f>COUNTA(OfficeForms.Table[[#This Row],[elements_shelters]:[elements_restspots]])</f>
        <v>2</v>
      </c>
      <c r="Z13">
        <v>1</v>
      </c>
      <c r="AH13">
        <f>COUNTA(OfficeForms.Table[[#This Row],[pnuw_walktrails]:[pnuw_restspots]])</f>
        <v>1</v>
      </c>
      <c r="AI13" t="s">
        <v>117</v>
      </c>
      <c r="AJ13" t="s">
        <v>80</v>
      </c>
      <c r="AK13" t="s">
        <v>59</v>
      </c>
      <c r="AL13" t="s">
        <v>59</v>
      </c>
      <c r="AM13" t="s">
        <v>118</v>
      </c>
      <c r="AN13" t="s">
        <v>111</v>
      </c>
      <c r="AP13" t="s">
        <v>59</v>
      </c>
      <c r="AQ13" t="s">
        <v>119</v>
      </c>
      <c r="AR13" t="s">
        <v>61</v>
      </c>
      <c r="AT13" t="s">
        <v>63</v>
      </c>
      <c r="AU13" t="s">
        <v>108</v>
      </c>
      <c r="AV13" t="s">
        <v>82</v>
      </c>
      <c r="AW13" t="s">
        <v>114</v>
      </c>
      <c r="AX13" t="s">
        <v>115</v>
      </c>
      <c r="AY13" s="1" t="s">
        <v>116</v>
      </c>
    </row>
    <row r="14" spans="1:51" hidden="1" x14ac:dyDescent="0.3">
      <c r="A14">
        <v>13</v>
      </c>
      <c r="B14" s="3">
        <v>45851.487824074073</v>
      </c>
      <c r="C14" s="3">
        <v>45851.489907407406</v>
      </c>
      <c r="D14" t="s">
        <v>49</v>
      </c>
      <c r="E14" t="s">
        <v>50</v>
      </c>
      <c r="F14" s="1" t="s">
        <v>120</v>
      </c>
      <c r="G14" t="s">
        <v>52</v>
      </c>
      <c r="H14" s="2">
        <v>45810</v>
      </c>
      <c r="I14" t="s">
        <v>53</v>
      </c>
      <c r="J14" t="s">
        <v>54</v>
      </c>
      <c r="K14" t="s">
        <v>78</v>
      </c>
      <c r="L14" t="s">
        <v>86</v>
      </c>
      <c r="M14">
        <v>11</v>
      </c>
      <c r="N14">
        <v>1</v>
      </c>
      <c r="O14">
        <v>8</v>
      </c>
      <c r="P14">
        <v>2</v>
      </c>
      <c r="Q14">
        <v>12</v>
      </c>
      <c r="R14">
        <v>3</v>
      </c>
      <c r="S14">
        <v>5</v>
      </c>
      <c r="T14">
        <v>7</v>
      </c>
      <c r="U14">
        <v>6</v>
      </c>
      <c r="V14">
        <v>10</v>
      </c>
      <c r="W14">
        <v>9</v>
      </c>
      <c r="X14">
        <v>4</v>
      </c>
      <c r="Y14">
        <f>COUNTA(OfficeForms.Table[[#This Row],[elements_shelters]:[elements_restspots]])</f>
        <v>12</v>
      </c>
      <c r="Z14">
        <v>1</v>
      </c>
      <c r="AA14">
        <v>5</v>
      </c>
      <c r="AB14">
        <v>8</v>
      </c>
      <c r="AC14">
        <v>6</v>
      </c>
      <c r="AD14">
        <v>2</v>
      </c>
      <c r="AE14">
        <v>3</v>
      </c>
      <c r="AF14">
        <v>4</v>
      </c>
      <c r="AG14">
        <v>7</v>
      </c>
      <c r="AH14">
        <f>COUNTA(OfficeForms.Table[[#This Row],[pnuw_walktrails]:[pnuw_restspots]])</f>
        <v>8</v>
      </c>
      <c r="AI14" t="s">
        <v>121</v>
      </c>
      <c r="AJ14" t="s">
        <v>88</v>
      </c>
      <c r="AK14" t="s">
        <v>59</v>
      </c>
      <c r="AL14" t="s">
        <v>60</v>
      </c>
      <c r="AN14" t="s">
        <v>61</v>
      </c>
      <c r="AP14" t="s">
        <v>59</v>
      </c>
      <c r="AQ14" t="s">
        <v>119</v>
      </c>
      <c r="AR14" t="s">
        <v>61</v>
      </c>
      <c r="AT14" t="s">
        <v>81</v>
      </c>
      <c r="AU14" t="s">
        <v>64</v>
      </c>
      <c r="AV14" t="s">
        <v>82</v>
      </c>
      <c r="AW14" t="s">
        <v>83</v>
      </c>
      <c r="AX14" t="s">
        <v>67</v>
      </c>
      <c r="AY14" s="1" t="s">
        <v>120</v>
      </c>
    </row>
    <row r="15" spans="1:51" hidden="1" x14ac:dyDescent="0.3">
      <c r="A15">
        <v>14</v>
      </c>
      <c r="B15" s="3">
        <v>45851.489988425928</v>
      </c>
      <c r="C15" s="3">
        <v>45851.491909722223</v>
      </c>
      <c r="D15" t="s">
        <v>49</v>
      </c>
      <c r="E15" t="s">
        <v>50</v>
      </c>
      <c r="F15" s="1" t="s">
        <v>122</v>
      </c>
      <c r="G15" t="s">
        <v>52</v>
      </c>
      <c r="H15" s="2">
        <v>45810</v>
      </c>
      <c r="I15" t="s">
        <v>53</v>
      </c>
      <c r="J15" t="s">
        <v>54</v>
      </c>
      <c r="K15" t="s">
        <v>78</v>
      </c>
      <c r="L15" t="s">
        <v>56</v>
      </c>
      <c r="M15">
        <v>10</v>
      </c>
      <c r="N15">
        <v>8</v>
      </c>
      <c r="O15">
        <v>9</v>
      </c>
      <c r="P15">
        <v>6</v>
      </c>
      <c r="Q15">
        <v>12</v>
      </c>
      <c r="R15">
        <v>7</v>
      </c>
      <c r="S15">
        <v>1</v>
      </c>
      <c r="T15">
        <v>2</v>
      </c>
      <c r="U15">
        <v>3</v>
      </c>
      <c r="V15">
        <v>11</v>
      </c>
      <c r="W15">
        <v>4</v>
      </c>
      <c r="X15">
        <v>5</v>
      </c>
      <c r="Y15">
        <f>COUNTA(OfficeForms.Table[[#This Row],[elements_shelters]:[elements_restspots]])</f>
        <v>12</v>
      </c>
      <c r="Z15">
        <v>2</v>
      </c>
      <c r="AA15">
        <v>8</v>
      </c>
      <c r="AB15">
        <v>3</v>
      </c>
      <c r="AC15">
        <v>4</v>
      </c>
      <c r="AD15">
        <v>1</v>
      </c>
      <c r="AE15">
        <v>7</v>
      </c>
      <c r="AF15">
        <v>5</v>
      </c>
      <c r="AG15">
        <v>6</v>
      </c>
      <c r="AH15">
        <f>COUNTA(OfficeForms.Table[[#This Row],[pnuw_walktrails]:[pnuw_restspots]])</f>
        <v>8</v>
      </c>
      <c r="AI15" t="s">
        <v>123</v>
      </c>
      <c r="AJ15" t="s">
        <v>72</v>
      </c>
      <c r="AK15" t="s">
        <v>59</v>
      </c>
      <c r="AL15" t="s">
        <v>60</v>
      </c>
      <c r="AN15" t="s">
        <v>61</v>
      </c>
      <c r="AP15" t="s">
        <v>59</v>
      </c>
      <c r="AQ15" t="s">
        <v>124</v>
      </c>
      <c r="AR15" t="s">
        <v>61</v>
      </c>
      <c r="AT15" t="s">
        <v>63</v>
      </c>
      <c r="AU15" t="s">
        <v>64</v>
      </c>
      <c r="AV15" t="s">
        <v>125</v>
      </c>
      <c r="AW15" t="s">
        <v>83</v>
      </c>
      <c r="AX15" t="s">
        <v>67</v>
      </c>
      <c r="AY15" s="1" t="s">
        <v>122</v>
      </c>
    </row>
    <row r="16" spans="1:51" hidden="1" x14ac:dyDescent="0.3">
      <c r="A16">
        <v>15</v>
      </c>
      <c r="B16" s="3">
        <v>45851.491944444446</v>
      </c>
      <c r="C16" s="3">
        <v>45851.493298611109</v>
      </c>
      <c r="D16" t="s">
        <v>49</v>
      </c>
      <c r="E16" t="s">
        <v>50</v>
      </c>
      <c r="F16" s="1" t="s">
        <v>126</v>
      </c>
      <c r="G16" t="s">
        <v>52</v>
      </c>
      <c r="H16" s="2">
        <v>45810</v>
      </c>
      <c r="I16" t="s">
        <v>53</v>
      </c>
      <c r="J16" t="s">
        <v>54</v>
      </c>
      <c r="K16" t="s">
        <v>78</v>
      </c>
      <c r="L16" t="s">
        <v>56</v>
      </c>
      <c r="M16">
        <v>8</v>
      </c>
      <c r="N16">
        <v>1</v>
      </c>
      <c r="O16">
        <v>9</v>
      </c>
      <c r="P16">
        <v>2</v>
      </c>
      <c r="Q16">
        <v>11</v>
      </c>
      <c r="R16">
        <v>3</v>
      </c>
      <c r="S16">
        <v>5</v>
      </c>
      <c r="T16">
        <v>4</v>
      </c>
      <c r="U16">
        <v>7</v>
      </c>
      <c r="V16">
        <v>12</v>
      </c>
      <c r="W16">
        <v>10</v>
      </c>
      <c r="X16">
        <v>6</v>
      </c>
      <c r="Y16">
        <f>COUNTA(OfficeForms.Table[[#This Row],[elements_shelters]:[elements_restspots]])</f>
        <v>12</v>
      </c>
      <c r="Z16">
        <v>6</v>
      </c>
      <c r="AA16">
        <v>8</v>
      </c>
      <c r="AB16">
        <v>7</v>
      </c>
      <c r="AC16">
        <v>4</v>
      </c>
      <c r="AD16">
        <v>2</v>
      </c>
      <c r="AE16">
        <v>5</v>
      </c>
      <c r="AF16">
        <v>1</v>
      </c>
      <c r="AG16">
        <v>3</v>
      </c>
      <c r="AH16">
        <f>COUNTA(OfficeForms.Table[[#This Row],[pnuw_walktrails]:[pnuw_restspots]])</f>
        <v>8</v>
      </c>
      <c r="AI16" t="s">
        <v>127</v>
      </c>
      <c r="AJ16" t="s">
        <v>80</v>
      </c>
      <c r="AK16" t="s">
        <v>60</v>
      </c>
      <c r="AT16" t="s">
        <v>63</v>
      </c>
      <c r="AU16" t="s">
        <v>73</v>
      </c>
      <c r="AV16" t="s">
        <v>125</v>
      </c>
      <c r="AW16" t="s">
        <v>114</v>
      </c>
      <c r="AX16" t="s">
        <v>115</v>
      </c>
      <c r="AY16" s="1" t="s">
        <v>126</v>
      </c>
    </row>
    <row r="17" spans="1:51" hidden="1" x14ac:dyDescent="0.3">
      <c r="A17">
        <v>16</v>
      </c>
      <c r="B17" s="3">
        <v>45851.493321759262</v>
      </c>
      <c r="C17" s="3">
        <v>45851.494305555556</v>
      </c>
      <c r="D17" t="s">
        <v>49</v>
      </c>
      <c r="E17" t="s">
        <v>50</v>
      </c>
      <c r="F17" s="1" t="s">
        <v>128</v>
      </c>
      <c r="G17" t="s">
        <v>52</v>
      </c>
      <c r="H17" s="2">
        <v>45810</v>
      </c>
      <c r="I17" t="s">
        <v>53</v>
      </c>
      <c r="J17" t="s">
        <v>85</v>
      </c>
      <c r="K17" t="s">
        <v>78</v>
      </c>
      <c r="L17" t="s">
        <v>56</v>
      </c>
      <c r="N17">
        <v>1</v>
      </c>
      <c r="Y17">
        <f>COUNTA(OfficeForms.Table[[#This Row],[elements_shelters]:[elements_restspots]])</f>
        <v>1</v>
      </c>
      <c r="Z17">
        <v>3</v>
      </c>
      <c r="AA17">
        <v>1</v>
      </c>
      <c r="AB17">
        <v>2</v>
      </c>
      <c r="AC17">
        <v>4</v>
      </c>
      <c r="AD17">
        <v>5</v>
      </c>
      <c r="AE17">
        <v>6</v>
      </c>
      <c r="AF17">
        <v>8</v>
      </c>
      <c r="AG17">
        <v>7</v>
      </c>
      <c r="AH17">
        <f>COUNTA(OfficeForms.Table[[#This Row],[pnuw_walktrails]:[pnuw_restspots]])</f>
        <v>8</v>
      </c>
      <c r="AI17" t="s">
        <v>106</v>
      </c>
      <c r="AJ17" t="s">
        <v>88</v>
      </c>
      <c r="AK17" t="s">
        <v>60</v>
      </c>
      <c r="AT17" t="s">
        <v>81</v>
      </c>
      <c r="AU17" t="s">
        <v>73</v>
      </c>
      <c r="AV17" t="s">
        <v>99</v>
      </c>
      <c r="AW17" t="s">
        <v>129</v>
      </c>
      <c r="AX17" t="s">
        <v>130</v>
      </c>
      <c r="AY17" s="1" t="s">
        <v>128</v>
      </c>
    </row>
    <row r="18" spans="1:51" hidden="1" x14ac:dyDescent="0.3">
      <c r="A18">
        <v>17</v>
      </c>
      <c r="B18" s="3">
        <v>45851.495011574072</v>
      </c>
      <c r="C18" s="3">
        <v>45851.504664351851</v>
      </c>
      <c r="D18" t="s">
        <v>49</v>
      </c>
      <c r="E18" t="s">
        <v>50</v>
      </c>
      <c r="F18" s="1" t="s">
        <v>131</v>
      </c>
      <c r="G18" t="s">
        <v>132</v>
      </c>
      <c r="H18" s="2">
        <v>45813</v>
      </c>
      <c r="I18" t="s">
        <v>53</v>
      </c>
      <c r="J18" t="s">
        <v>69</v>
      </c>
      <c r="K18" t="s">
        <v>55</v>
      </c>
      <c r="L18" t="s">
        <v>86</v>
      </c>
      <c r="M18">
        <v>4</v>
      </c>
      <c r="N18">
        <v>1</v>
      </c>
      <c r="O18">
        <v>3</v>
      </c>
      <c r="P18">
        <v>2</v>
      </c>
      <c r="Q18">
        <v>11</v>
      </c>
      <c r="R18">
        <v>6</v>
      </c>
      <c r="S18">
        <v>12</v>
      </c>
      <c r="T18">
        <v>9</v>
      </c>
      <c r="U18">
        <v>5</v>
      </c>
      <c r="V18">
        <v>8</v>
      </c>
      <c r="W18">
        <v>7</v>
      </c>
      <c r="X18">
        <v>10</v>
      </c>
      <c r="Y18">
        <f>COUNTA(OfficeForms.Table[[#This Row],[elements_shelters]:[elements_restspots]])</f>
        <v>12</v>
      </c>
      <c r="Z18">
        <v>3</v>
      </c>
      <c r="AA18">
        <v>5</v>
      </c>
      <c r="AB18">
        <v>2</v>
      </c>
      <c r="AC18">
        <v>1</v>
      </c>
      <c r="AD18">
        <v>6</v>
      </c>
      <c r="AE18">
        <v>7</v>
      </c>
      <c r="AF18">
        <v>8</v>
      </c>
      <c r="AG18">
        <v>4</v>
      </c>
      <c r="AH18">
        <f>COUNTA(OfficeForms.Table[[#This Row],[pnuw_walktrails]:[pnuw_restspots]])</f>
        <v>8</v>
      </c>
      <c r="AI18" t="s">
        <v>133</v>
      </c>
      <c r="AJ18" t="s">
        <v>80</v>
      </c>
      <c r="AK18" t="s">
        <v>60</v>
      </c>
      <c r="AT18" t="s">
        <v>81</v>
      </c>
      <c r="AU18" t="s">
        <v>108</v>
      </c>
      <c r="AV18" t="s">
        <v>65</v>
      </c>
      <c r="AW18" t="s">
        <v>134</v>
      </c>
      <c r="AX18" t="s">
        <v>135</v>
      </c>
      <c r="AY18" s="1" t="s">
        <v>131</v>
      </c>
    </row>
    <row r="19" spans="1:51" hidden="1" x14ac:dyDescent="0.3">
      <c r="A19">
        <v>18</v>
      </c>
      <c r="B19" s="3">
        <v>45851.504687499997</v>
      </c>
      <c r="C19" s="3">
        <v>45851.506435185183</v>
      </c>
      <c r="D19" t="s">
        <v>49</v>
      </c>
      <c r="E19" t="s">
        <v>50</v>
      </c>
      <c r="F19" s="1" t="s">
        <v>136</v>
      </c>
      <c r="G19" t="s">
        <v>132</v>
      </c>
      <c r="H19" s="2">
        <v>45811</v>
      </c>
      <c r="I19" t="s">
        <v>53</v>
      </c>
      <c r="J19" t="s">
        <v>54</v>
      </c>
      <c r="K19" t="s">
        <v>55</v>
      </c>
      <c r="L19" t="s">
        <v>56</v>
      </c>
      <c r="M19">
        <v>10</v>
      </c>
      <c r="N19">
        <v>2</v>
      </c>
      <c r="O19">
        <v>1</v>
      </c>
      <c r="P19">
        <v>4</v>
      </c>
      <c r="Q19">
        <v>11</v>
      </c>
      <c r="R19">
        <v>8</v>
      </c>
      <c r="S19">
        <v>3</v>
      </c>
      <c r="T19">
        <v>5</v>
      </c>
      <c r="U19">
        <v>6</v>
      </c>
      <c r="V19">
        <v>12</v>
      </c>
      <c r="W19">
        <v>7</v>
      </c>
      <c r="X19">
        <v>9</v>
      </c>
      <c r="Y19">
        <f>COUNTA(OfficeForms.Table[[#This Row],[elements_shelters]:[elements_restspots]])</f>
        <v>12</v>
      </c>
      <c r="Z19">
        <v>5</v>
      </c>
      <c r="AA19">
        <v>1</v>
      </c>
      <c r="AB19">
        <v>3</v>
      </c>
      <c r="AC19">
        <v>2</v>
      </c>
      <c r="AD19">
        <v>6</v>
      </c>
      <c r="AE19">
        <v>7</v>
      </c>
      <c r="AF19">
        <v>8</v>
      </c>
      <c r="AG19">
        <v>4</v>
      </c>
      <c r="AH19">
        <f>COUNTA(OfficeForms.Table[[#This Row],[pnuw_walktrails]:[pnuw_restspots]])</f>
        <v>8</v>
      </c>
      <c r="AI19" t="s">
        <v>137</v>
      </c>
      <c r="AJ19" t="s">
        <v>80</v>
      </c>
      <c r="AK19" t="s">
        <v>59</v>
      </c>
      <c r="AL19" t="s">
        <v>59</v>
      </c>
      <c r="AM19" t="s">
        <v>138</v>
      </c>
      <c r="AN19" t="s">
        <v>61</v>
      </c>
      <c r="AP19" t="s">
        <v>59</v>
      </c>
      <c r="AQ19" t="s">
        <v>138</v>
      </c>
      <c r="AR19" t="s">
        <v>61</v>
      </c>
      <c r="AT19" t="s">
        <v>63</v>
      </c>
      <c r="AU19" t="s">
        <v>64</v>
      </c>
      <c r="AV19" t="s">
        <v>74</v>
      </c>
      <c r="AW19" t="s">
        <v>114</v>
      </c>
      <c r="AX19" t="s">
        <v>115</v>
      </c>
      <c r="AY19" s="1" t="s">
        <v>136</v>
      </c>
    </row>
    <row r="20" spans="1:51" hidden="1" x14ac:dyDescent="0.3">
      <c r="A20">
        <v>19</v>
      </c>
      <c r="B20" s="3">
        <v>45851.506458333337</v>
      </c>
      <c r="C20" s="3">
        <v>45851.507777777777</v>
      </c>
      <c r="D20" t="s">
        <v>49</v>
      </c>
      <c r="E20" t="s">
        <v>50</v>
      </c>
      <c r="F20" s="1" t="s">
        <v>139</v>
      </c>
      <c r="G20" t="s">
        <v>132</v>
      </c>
      <c r="H20" s="2">
        <v>45810</v>
      </c>
      <c r="I20" t="s">
        <v>53</v>
      </c>
      <c r="J20" t="s">
        <v>54</v>
      </c>
      <c r="K20" t="s">
        <v>78</v>
      </c>
      <c r="L20" t="s">
        <v>56</v>
      </c>
      <c r="M20">
        <v>4</v>
      </c>
      <c r="N20">
        <v>8</v>
      </c>
      <c r="O20">
        <v>7</v>
      </c>
      <c r="P20">
        <v>4</v>
      </c>
      <c r="Q20">
        <v>12</v>
      </c>
      <c r="R20">
        <v>5</v>
      </c>
      <c r="S20">
        <v>1</v>
      </c>
      <c r="T20">
        <v>2</v>
      </c>
      <c r="U20">
        <v>10</v>
      </c>
      <c r="V20">
        <v>11</v>
      </c>
      <c r="W20">
        <v>3</v>
      </c>
      <c r="X20">
        <v>6</v>
      </c>
      <c r="Y20">
        <f>COUNTA(OfficeForms.Table[[#This Row],[elements_shelters]:[elements_restspots]])</f>
        <v>12</v>
      </c>
      <c r="Z20">
        <v>2</v>
      </c>
      <c r="AA20">
        <v>8</v>
      </c>
      <c r="AB20">
        <v>1</v>
      </c>
      <c r="AC20">
        <v>7</v>
      </c>
      <c r="AD20">
        <v>3</v>
      </c>
      <c r="AE20">
        <v>4</v>
      </c>
      <c r="AF20">
        <v>5</v>
      </c>
      <c r="AG20">
        <v>6</v>
      </c>
      <c r="AH20">
        <f>COUNTA(OfficeForms.Table[[#This Row],[pnuw_walktrails]:[pnuw_restspots]])</f>
        <v>8</v>
      </c>
      <c r="AI20" t="s">
        <v>140</v>
      </c>
      <c r="AJ20" t="s">
        <v>72</v>
      </c>
      <c r="AK20" t="s">
        <v>60</v>
      </c>
      <c r="AT20" t="s">
        <v>81</v>
      </c>
      <c r="AU20" t="s">
        <v>64</v>
      </c>
      <c r="AV20" t="s">
        <v>82</v>
      </c>
      <c r="AW20" t="s">
        <v>66</v>
      </c>
      <c r="AX20" t="s">
        <v>67</v>
      </c>
      <c r="AY20" s="1" t="s">
        <v>139</v>
      </c>
    </row>
    <row r="21" spans="1:51" hidden="1" x14ac:dyDescent="0.3">
      <c r="A21">
        <v>20</v>
      </c>
      <c r="B21" s="3">
        <v>45851.507905092592</v>
      </c>
      <c r="C21" s="3">
        <v>45851.509212962963</v>
      </c>
      <c r="D21" t="s">
        <v>49</v>
      </c>
      <c r="E21" t="s">
        <v>50</v>
      </c>
      <c r="F21" s="1" t="s">
        <v>141</v>
      </c>
      <c r="G21" t="s">
        <v>132</v>
      </c>
      <c r="H21" s="2">
        <v>45810</v>
      </c>
      <c r="I21" t="s">
        <v>53</v>
      </c>
      <c r="J21" t="s">
        <v>54</v>
      </c>
      <c r="K21" t="s">
        <v>103</v>
      </c>
      <c r="L21" t="s">
        <v>56</v>
      </c>
      <c r="P21">
        <v>1</v>
      </c>
      <c r="Y21">
        <f>COUNTA(OfficeForms.Table[[#This Row],[elements_shelters]:[elements_restspots]])</f>
        <v>1</v>
      </c>
      <c r="Z21">
        <v>4</v>
      </c>
      <c r="AA21">
        <v>6</v>
      </c>
      <c r="AB21">
        <v>5</v>
      </c>
      <c r="AC21">
        <v>8</v>
      </c>
      <c r="AD21">
        <v>5</v>
      </c>
      <c r="AE21">
        <v>4</v>
      </c>
      <c r="AF21">
        <v>6</v>
      </c>
      <c r="AG21">
        <v>7</v>
      </c>
      <c r="AH21">
        <f>COUNTA(OfficeForms.Table[[#This Row],[pnuw_walktrails]:[pnuw_restspots]])</f>
        <v>8</v>
      </c>
      <c r="AI21" t="s">
        <v>123</v>
      </c>
      <c r="AJ21" t="s">
        <v>72</v>
      </c>
      <c r="AK21" t="s">
        <v>60</v>
      </c>
      <c r="AT21" t="s">
        <v>81</v>
      </c>
      <c r="AU21" t="s">
        <v>142</v>
      </c>
      <c r="AV21" t="s">
        <v>82</v>
      </c>
      <c r="AW21" t="s">
        <v>114</v>
      </c>
      <c r="AX21" t="s">
        <v>115</v>
      </c>
      <c r="AY21" s="1" t="s">
        <v>141</v>
      </c>
    </row>
    <row r="22" spans="1:51" hidden="1" x14ac:dyDescent="0.3">
      <c r="A22">
        <v>21</v>
      </c>
      <c r="B22" s="3">
        <v>45851.509236111109</v>
      </c>
      <c r="C22" s="3">
        <v>45851.510844907411</v>
      </c>
      <c r="D22" t="s">
        <v>49</v>
      </c>
      <c r="E22" t="s">
        <v>50</v>
      </c>
      <c r="F22" s="1" t="s">
        <v>143</v>
      </c>
      <c r="G22" t="s">
        <v>132</v>
      </c>
      <c r="H22" s="2">
        <v>45813</v>
      </c>
      <c r="I22" t="s">
        <v>53</v>
      </c>
      <c r="J22" t="s">
        <v>54</v>
      </c>
      <c r="K22" t="s">
        <v>55</v>
      </c>
      <c r="L22" t="s">
        <v>56</v>
      </c>
      <c r="M22">
        <v>5</v>
      </c>
      <c r="N22">
        <v>1</v>
      </c>
      <c r="O22">
        <v>2</v>
      </c>
      <c r="P22">
        <v>3</v>
      </c>
      <c r="Q22">
        <v>12</v>
      </c>
      <c r="R22">
        <v>4</v>
      </c>
      <c r="S22">
        <v>11</v>
      </c>
      <c r="T22">
        <v>10</v>
      </c>
      <c r="U22">
        <v>9</v>
      </c>
      <c r="V22">
        <v>8</v>
      </c>
      <c r="W22">
        <v>4</v>
      </c>
      <c r="X22">
        <v>6</v>
      </c>
      <c r="Y22">
        <f>COUNTA(OfficeForms.Table[[#This Row],[elements_shelters]:[elements_restspots]])</f>
        <v>12</v>
      </c>
      <c r="Z22">
        <v>1</v>
      </c>
      <c r="AA22">
        <v>2</v>
      </c>
      <c r="AB22">
        <v>3</v>
      </c>
      <c r="AC22">
        <v>6</v>
      </c>
      <c r="AD22">
        <v>4</v>
      </c>
      <c r="AE22">
        <v>5</v>
      </c>
      <c r="AF22">
        <v>7</v>
      </c>
      <c r="AG22">
        <v>8</v>
      </c>
      <c r="AH22">
        <f>COUNTA(OfficeForms.Table[[#This Row],[pnuw_walktrails]:[pnuw_restspots]])</f>
        <v>8</v>
      </c>
      <c r="AI22" t="s">
        <v>117</v>
      </c>
      <c r="AJ22" t="s">
        <v>72</v>
      </c>
      <c r="AK22" t="s">
        <v>60</v>
      </c>
      <c r="AT22" t="s">
        <v>81</v>
      </c>
      <c r="AU22" t="s">
        <v>64</v>
      </c>
      <c r="AV22" t="s">
        <v>74</v>
      </c>
      <c r="AW22" t="s">
        <v>144</v>
      </c>
      <c r="AX22" t="s">
        <v>67</v>
      </c>
      <c r="AY22" s="1" t="s">
        <v>143</v>
      </c>
    </row>
    <row r="23" spans="1:51" hidden="1" x14ac:dyDescent="0.3">
      <c r="A23">
        <v>22</v>
      </c>
      <c r="B23" s="3">
        <v>45851.510868055557</v>
      </c>
      <c r="C23" s="3">
        <v>45851.513981481483</v>
      </c>
      <c r="D23" t="s">
        <v>49</v>
      </c>
      <c r="E23" t="s">
        <v>50</v>
      </c>
      <c r="F23" s="1" t="s">
        <v>145</v>
      </c>
      <c r="G23" t="s">
        <v>132</v>
      </c>
      <c r="H23" s="2">
        <v>45813</v>
      </c>
      <c r="I23" t="s">
        <v>53</v>
      </c>
      <c r="J23" t="s">
        <v>54</v>
      </c>
      <c r="K23" t="s">
        <v>78</v>
      </c>
      <c r="L23" t="s">
        <v>56</v>
      </c>
      <c r="M23">
        <v>6</v>
      </c>
      <c r="N23">
        <v>1</v>
      </c>
      <c r="O23">
        <v>8</v>
      </c>
      <c r="P23">
        <v>2</v>
      </c>
      <c r="Q23">
        <v>7</v>
      </c>
      <c r="R23">
        <v>3</v>
      </c>
      <c r="S23">
        <v>5</v>
      </c>
      <c r="T23">
        <v>9</v>
      </c>
      <c r="U23">
        <v>11</v>
      </c>
      <c r="V23">
        <v>12</v>
      </c>
      <c r="W23">
        <v>4</v>
      </c>
      <c r="X23">
        <v>10</v>
      </c>
      <c r="Y23">
        <f>COUNTA(OfficeForms.Table[[#This Row],[elements_shelters]:[elements_restspots]])</f>
        <v>12</v>
      </c>
      <c r="Z23">
        <v>1</v>
      </c>
      <c r="AA23">
        <v>4</v>
      </c>
      <c r="AB23">
        <v>5</v>
      </c>
      <c r="AC23">
        <v>2</v>
      </c>
      <c r="AD23">
        <v>7</v>
      </c>
      <c r="AE23">
        <v>8</v>
      </c>
      <c r="AF23">
        <v>6</v>
      </c>
      <c r="AG23">
        <v>3</v>
      </c>
      <c r="AH23">
        <f>COUNTA(OfficeForms.Table[[#This Row],[pnuw_walktrails]:[pnuw_restspots]])</f>
        <v>8</v>
      </c>
      <c r="AI23" t="s">
        <v>146</v>
      </c>
      <c r="AJ23" t="s">
        <v>88</v>
      </c>
      <c r="AK23" t="s">
        <v>60</v>
      </c>
      <c r="AT23" t="s">
        <v>63</v>
      </c>
      <c r="AU23" t="s">
        <v>64</v>
      </c>
      <c r="AV23" t="s">
        <v>65</v>
      </c>
      <c r="AW23" t="s">
        <v>144</v>
      </c>
      <c r="AX23" t="s">
        <v>67</v>
      </c>
      <c r="AY23" s="1" t="s">
        <v>145</v>
      </c>
    </row>
    <row r="24" spans="1:51" hidden="1" x14ac:dyDescent="0.3">
      <c r="A24">
        <v>23</v>
      </c>
      <c r="B24" s="3">
        <v>45851.514004629629</v>
      </c>
      <c r="C24" s="3">
        <v>45851.5158912037</v>
      </c>
      <c r="D24" t="s">
        <v>49</v>
      </c>
      <c r="E24" t="s">
        <v>50</v>
      </c>
      <c r="F24" s="1" t="s">
        <v>147</v>
      </c>
      <c r="G24" t="s">
        <v>132</v>
      </c>
      <c r="H24" s="2">
        <v>45814</v>
      </c>
      <c r="I24" t="s">
        <v>53</v>
      </c>
      <c r="J24" t="s">
        <v>54</v>
      </c>
      <c r="K24" t="s">
        <v>55</v>
      </c>
      <c r="L24" t="s">
        <v>56</v>
      </c>
      <c r="M24">
        <v>10</v>
      </c>
      <c r="N24">
        <v>1</v>
      </c>
      <c r="O24">
        <v>2</v>
      </c>
      <c r="P24">
        <v>3</v>
      </c>
      <c r="Q24">
        <v>12</v>
      </c>
      <c r="R24">
        <v>4</v>
      </c>
      <c r="S24">
        <v>5</v>
      </c>
      <c r="T24">
        <v>6</v>
      </c>
      <c r="U24">
        <v>7</v>
      </c>
      <c r="V24">
        <v>11</v>
      </c>
      <c r="W24">
        <v>8</v>
      </c>
      <c r="X24">
        <v>9</v>
      </c>
      <c r="Y24">
        <f>COUNTA(OfficeForms.Table[[#This Row],[elements_shelters]:[elements_restspots]])</f>
        <v>12</v>
      </c>
      <c r="Z24">
        <v>1</v>
      </c>
      <c r="AA24">
        <v>4</v>
      </c>
      <c r="AB24">
        <v>5</v>
      </c>
      <c r="AC24">
        <v>8</v>
      </c>
      <c r="AD24">
        <v>2</v>
      </c>
      <c r="AE24">
        <v>3</v>
      </c>
      <c r="AF24">
        <v>6</v>
      </c>
      <c r="AG24">
        <v>7</v>
      </c>
      <c r="AH24">
        <f>COUNTA(OfficeForms.Table[[#This Row],[pnuw_walktrails]:[pnuw_restspots]])</f>
        <v>8</v>
      </c>
      <c r="AI24" t="s">
        <v>106</v>
      </c>
      <c r="AJ24" t="s">
        <v>80</v>
      </c>
      <c r="AK24" t="s">
        <v>60</v>
      </c>
      <c r="AT24" t="s">
        <v>81</v>
      </c>
      <c r="AU24" t="s">
        <v>108</v>
      </c>
      <c r="AV24" t="s">
        <v>82</v>
      </c>
      <c r="AW24" t="s">
        <v>148</v>
      </c>
      <c r="AX24" t="s">
        <v>67</v>
      </c>
      <c r="AY24" s="1" t="s">
        <v>147</v>
      </c>
    </row>
    <row r="25" spans="1:51" hidden="1" x14ac:dyDescent="0.3">
      <c r="A25">
        <v>24</v>
      </c>
      <c r="B25" s="3">
        <v>45851.516041666669</v>
      </c>
      <c r="C25" s="3">
        <v>45851.519513888888</v>
      </c>
      <c r="D25" t="s">
        <v>49</v>
      </c>
      <c r="E25" t="s">
        <v>50</v>
      </c>
      <c r="F25" s="1" t="s">
        <v>149</v>
      </c>
      <c r="G25" t="s">
        <v>132</v>
      </c>
      <c r="H25" s="2">
        <v>45814</v>
      </c>
      <c r="I25" t="s">
        <v>53</v>
      </c>
      <c r="J25" t="s">
        <v>54</v>
      </c>
      <c r="K25" t="s">
        <v>78</v>
      </c>
      <c r="L25" t="s">
        <v>56</v>
      </c>
      <c r="M25">
        <v>10</v>
      </c>
      <c r="N25">
        <v>1</v>
      </c>
      <c r="O25">
        <v>6</v>
      </c>
      <c r="P25">
        <v>8</v>
      </c>
      <c r="Q25">
        <v>9</v>
      </c>
      <c r="R25">
        <v>3</v>
      </c>
      <c r="S25">
        <v>7</v>
      </c>
      <c r="T25">
        <v>5</v>
      </c>
      <c r="U25">
        <v>11</v>
      </c>
      <c r="V25">
        <v>12</v>
      </c>
      <c r="W25">
        <v>2</v>
      </c>
      <c r="X25">
        <v>4</v>
      </c>
      <c r="Y25">
        <f>COUNTA(OfficeForms.Table[[#This Row],[elements_shelters]:[elements_restspots]])</f>
        <v>12</v>
      </c>
      <c r="Z25">
        <v>1</v>
      </c>
      <c r="AA25">
        <v>2</v>
      </c>
      <c r="AB25">
        <v>3</v>
      </c>
      <c r="AC25">
        <v>4</v>
      </c>
      <c r="AD25">
        <v>8</v>
      </c>
      <c r="AE25">
        <v>7</v>
      </c>
      <c r="AF25">
        <v>6</v>
      </c>
      <c r="AG25">
        <v>5</v>
      </c>
      <c r="AH25">
        <f>COUNTA(OfficeForms.Table[[#This Row],[pnuw_walktrails]:[pnuw_restspots]])</f>
        <v>8</v>
      </c>
      <c r="AI25" t="s">
        <v>150</v>
      </c>
      <c r="AJ25" t="s">
        <v>88</v>
      </c>
      <c r="AK25" t="s">
        <v>60</v>
      </c>
      <c r="AT25" t="s">
        <v>63</v>
      </c>
      <c r="AU25" t="s">
        <v>73</v>
      </c>
      <c r="AV25" t="s">
        <v>74</v>
      </c>
      <c r="AW25" t="s">
        <v>151</v>
      </c>
      <c r="AX25" t="s">
        <v>152</v>
      </c>
      <c r="AY25" s="1" t="s">
        <v>149</v>
      </c>
    </row>
    <row r="26" spans="1:51" hidden="1" x14ac:dyDescent="0.3">
      <c r="A26">
        <v>25</v>
      </c>
      <c r="B26" s="3">
        <v>45851.519953703704</v>
      </c>
      <c r="C26" s="3">
        <v>45851.522453703707</v>
      </c>
      <c r="D26" t="s">
        <v>49</v>
      </c>
      <c r="E26" t="s">
        <v>50</v>
      </c>
      <c r="F26" s="1" t="s">
        <v>153</v>
      </c>
      <c r="G26" t="s">
        <v>132</v>
      </c>
      <c r="H26" s="2">
        <v>45814</v>
      </c>
      <c r="I26" t="s">
        <v>53</v>
      </c>
      <c r="J26" t="s">
        <v>54</v>
      </c>
      <c r="K26" t="s">
        <v>103</v>
      </c>
      <c r="L26" t="s">
        <v>86</v>
      </c>
      <c r="P26">
        <v>1</v>
      </c>
      <c r="U26">
        <v>2</v>
      </c>
      <c r="Y26">
        <f>COUNTA(OfficeForms.Table[[#This Row],[elements_shelters]:[elements_restspots]])</f>
        <v>2</v>
      </c>
      <c r="Z26">
        <v>3</v>
      </c>
      <c r="AA26">
        <v>2</v>
      </c>
      <c r="AB26">
        <v>8</v>
      </c>
      <c r="AC26">
        <v>1</v>
      </c>
      <c r="AD26">
        <v>7</v>
      </c>
      <c r="AE26">
        <v>6</v>
      </c>
      <c r="AF26">
        <v>4</v>
      </c>
      <c r="AG26">
        <v>5</v>
      </c>
      <c r="AH26">
        <f>COUNTA(OfficeForms.Table[[#This Row],[pnuw_walktrails]:[pnuw_restspots]])</f>
        <v>8</v>
      </c>
      <c r="AI26" t="s">
        <v>154</v>
      </c>
      <c r="AJ26" t="s">
        <v>80</v>
      </c>
      <c r="AK26" t="s">
        <v>60</v>
      </c>
      <c r="AT26" t="s">
        <v>81</v>
      </c>
      <c r="AU26" t="s">
        <v>73</v>
      </c>
      <c r="AV26" t="s">
        <v>99</v>
      </c>
      <c r="AW26" t="s">
        <v>148</v>
      </c>
      <c r="AX26" t="s">
        <v>67</v>
      </c>
      <c r="AY26" s="1" t="s">
        <v>153</v>
      </c>
    </row>
    <row r="27" spans="1:51" hidden="1" x14ac:dyDescent="0.3">
      <c r="A27">
        <v>26</v>
      </c>
      <c r="B27" s="3">
        <v>45851.522557870368</v>
      </c>
      <c r="C27" s="3">
        <v>45851.523877314816</v>
      </c>
      <c r="D27" t="s">
        <v>49</v>
      </c>
      <c r="E27" t="s">
        <v>50</v>
      </c>
      <c r="F27" s="1" t="s">
        <v>155</v>
      </c>
      <c r="G27" t="s">
        <v>132</v>
      </c>
      <c r="H27" s="2">
        <v>45815</v>
      </c>
      <c r="I27" t="s">
        <v>53</v>
      </c>
      <c r="J27" t="s">
        <v>69</v>
      </c>
      <c r="K27" t="s">
        <v>78</v>
      </c>
      <c r="L27" t="s">
        <v>56</v>
      </c>
      <c r="M27">
        <v>11</v>
      </c>
      <c r="N27">
        <v>1</v>
      </c>
      <c r="O27">
        <v>3</v>
      </c>
      <c r="P27">
        <v>2</v>
      </c>
      <c r="Q27">
        <v>12</v>
      </c>
      <c r="R27">
        <v>5</v>
      </c>
      <c r="S27">
        <v>4</v>
      </c>
      <c r="T27">
        <v>8</v>
      </c>
      <c r="U27">
        <v>9</v>
      </c>
      <c r="V27">
        <v>10</v>
      </c>
      <c r="W27">
        <v>7</v>
      </c>
      <c r="X27">
        <v>6</v>
      </c>
      <c r="Y27">
        <f>COUNTA(OfficeForms.Table[[#This Row],[elements_shelters]:[elements_restspots]])</f>
        <v>12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f>COUNTA(OfficeForms.Table[[#This Row],[pnuw_walktrails]:[pnuw_restspots]])</f>
        <v>8</v>
      </c>
      <c r="AI27" t="s">
        <v>117</v>
      </c>
      <c r="AJ27" t="s">
        <v>88</v>
      </c>
      <c r="AK27" t="s">
        <v>60</v>
      </c>
      <c r="AT27" t="s">
        <v>63</v>
      </c>
      <c r="AU27" t="s">
        <v>64</v>
      </c>
      <c r="AV27" t="s">
        <v>125</v>
      </c>
      <c r="AW27" t="s">
        <v>66</v>
      </c>
      <c r="AX27" t="s">
        <v>67</v>
      </c>
      <c r="AY27" s="1" t="s">
        <v>155</v>
      </c>
    </row>
    <row r="28" spans="1:51" hidden="1" x14ac:dyDescent="0.3">
      <c r="A28">
        <v>27</v>
      </c>
      <c r="B28" s="3">
        <v>45851.523888888885</v>
      </c>
      <c r="C28" s="3">
        <v>45851.525324074071</v>
      </c>
      <c r="D28" t="s">
        <v>49</v>
      </c>
      <c r="E28" t="s">
        <v>50</v>
      </c>
      <c r="F28" s="1" t="s">
        <v>156</v>
      </c>
      <c r="G28" t="s">
        <v>132</v>
      </c>
      <c r="H28" s="2">
        <v>45815</v>
      </c>
      <c r="I28" t="s">
        <v>53</v>
      </c>
      <c r="J28" t="s">
        <v>54</v>
      </c>
      <c r="K28" t="s">
        <v>55</v>
      </c>
      <c r="L28" t="s">
        <v>56</v>
      </c>
      <c r="M28">
        <v>8</v>
      </c>
      <c r="N28">
        <v>1</v>
      </c>
      <c r="O28">
        <v>4</v>
      </c>
      <c r="P28">
        <v>3</v>
      </c>
      <c r="Q28">
        <v>10</v>
      </c>
      <c r="R28">
        <v>2</v>
      </c>
      <c r="S28">
        <v>5</v>
      </c>
      <c r="T28">
        <v>6</v>
      </c>
      <c r="U28">
        <v>9</v>
      </c>
      <c r="V28">
        <v>11</v>
      </c>
      <c r="W28">
        <v>7</v>
      </c>
      <c r="X28">
        <v>12</v>
      </c>
      <c r="Y28">
        <f>COUNTA(OfficeForms.Table[[#This Row],[elements_shelters]:[elements_restspots]])</f>
        <v>12</v>
      </c>
      <c r="Z28">
        <v>1</v>
      </c>
      <c r="AA28">
        <v>3</v>
      </c>
      <c r="AB28">
        <v>2</v>
      </c>
      <c r="AC28">
        <v>4</v>
      </c>
      <c r="AD28">
        <v>5</v>
      </c>
      <c r="AE28">
        <v>6</v>
      </c>
      <c r="AF28">
        <v>8</v>
      </c>
      <c r="AG28">
        <v>7</v>
      </c>
      <c r="AH28">
        <f>COUNTA(OfficeForms.Table[[#This Row],[pnuw_walktrails]:[pnuw_restspots]])</f>
        <v>8</v>
      </c>
      <c r="AI28" t="s">
        <v>106</v>
      </c>
      <c r="AJ28" t="s">
        <v>88</v>
      </c>
      <c r="AK28" t="s">
        <v>60</v>
      </c>
      <c r="AT28" t="s">
        <v>81</v>
      </c>
      <c r="AU28" t="s">
        <v>73</v>
      </c>
      <c r="AV28" t="s">
        <v>74</v>
      </c>
      <c r="AW28" t="s">
        <v>83</v>
      </c>
      <c r="AX28" t="s">
        <v>67</v>
      </c>
      <c r="AY28" s="1" t="s">
        <v>156</v>
      </c>
    </row>
    <row r="29" spans="1:51" hidden="1" x14ac:dyDescent="0.3">
      <c r="A29">
        <v>28</v>
      </c>
      <c r="B29" s="3">
        <v>45851.525601851848</v>
      </c>
      <c r="C29" s="3">
        <v>45851.529143518521</v>
      </c>
      <c r="D29" t="s">
        <v>49</v>
      </c>
      <c r="E29" t="s">
        <v>50</v>
      </c>
      <c r="F29" s="1" t="s">
        <v>157</v>
      </c>
      <c r="G29" t="s">
        <v>132</v>
      </c>
      <c r="H29" s="2">
        <v>45815</v>
      </c>
      <c r="I29" t="s">
        <v>53</v>
      </c>
      <c r="J29" t="s">
        <v>54</v>
      </c>
      <c r="K29" t="s">
        <v>78</v>
      </c>
      <c r="L29" t="s">
        <v>56</v>
      </c>
      <c r="M29">
        <v>10</v>
      </c>
      <c r="N29">
        <v>1</v>
      </c>
      <c r="O29">
        <v>2</v>
      </c>
      <c r="P29">
        <v>4</v>
      </c>
      <c r="Q29">
        <v>12</v>
      </c>
      <c r="R29">
        <v>6</v>
      </c>
      <c r="S29">
        <v>9</v>
      </c>
      <c r="T29">
        <v>10</v>
      </c>
      <c r="U29">
        <v>5</v>
      </c>
      <c r="V29">
        <v>11</v>
      </c>
      <c r="W29">
        <v>8</v>
      </c>
      <c r="X29">
        <v>7</v>
      </c>
      <c r="Y29">
        <f>COUNTA(OfficeForms.Table[[#This Row],[elements_shelters]:[elements_restspots]])</f>
        <v>12</v>
      </c>
      <c r="Z29">
        <v>5</v>
      </c>
      <c r="AA29">
        <v>8</v>
      </c>
      <c r="AB29">
        <v>7</v>
      </c>
      <c r="AC29">
        <v>1</v>
      </c>
      <c r="AD29">
        <v>3</v>
      </c>
      <c r="AE29">
        <v>6</v>
      </c>
      <c r="AF29">
        <v>4</v>
      </c>
      <c r="AG29">
        <v>2</v>
      </c>
      <c r="AH29">
        <f>COUNTA(OfficeForms.Table[[#This Row],[pnuw_walktrails]:[pnuw_restspots]])</f>
        <v>8</v>
      </c>
      <c r="AI29" t="s">
        <v>158</v>
      </c>
      <c r="AJ29" t="s">
        <v>72</v>
      </c>
      <c r="AK29" t="s">
        <v>60</v>
      </c>
      <c r="AT29" t="s">
        <v>81</v>
      </c>
      <c r="AU29" t="s">
        <v>64</v>
      </c>
      <c r="AV29" t="s">
        <v>82</v>
      </c>
      <c r="AW29" t="s">
        <v>159</v>
      </c>
      <c r="AX29" t="s">
        <v>160</v>
      </c>
      <c r="AY29" s="1" t="s">
        <v>157</v>
      </c>
    </row>
    <row r="30" spans="1:51" hidden="1" x14ac:dyDescent="0.3">
      <c r="A30">
        <v>29</v>
      </c>
      <c r="B30" s="3">
        <v>45851.530706018515</v>
      </c>
      <c r="C30" s="3">
        <v>45851.530821759261</v>
      </c>
      <c r="D30" t="s">
        <v>49</v>
      </c>
      <c r="E30" t="s">
        <v>50</v>
      </c>
      <c r="F30" s="1" t="s">
        <v>161</v>
      </c>
      <c r="G30" t="s">
        <v>132</v>
      </c>
      <c r="H30" s="2">
        <v>45815</v>
      </c>
      <c r="I30" t="s">
        <v>53</v>
      </c>
      <c r="J30" t="s">
        <v>54</v>
      </c>
      <c r="K30" t="s">
        <v>78</v>
      </c>
      <c r="L30" t="s">
        <v>56</v>
      </c>
      <c r="M30">
        <v>11</v>
      </c>
      <c r="N30">
        <v>1</v>
      </c>
      <c r="O30">
        <v>2</v>
      </c>
      <c r="P30">
        <v>8</v>
      </c>
      <c r="Q30">
        <v>12</v>
      </c>
      <c r="R30">
        <v>4</v>
      </c>
      <c r="S30">
        <v>5</v>
      </c>
      <c r="T30">
        <v>9</v>
      </c>
      <c r="U30">
        <v>3</v>
      </c>
      <c r="V30">
        <v>10</v>
      </c>
      <c r="W30">
        <v>7</v>
      </c>
      <c r="X30">
        <v>6</v>
      </c>
      <c r="Y30">
        <f>COUNTA(OfficeForms.Table[[#This Row],[elements_shelters]:[elements_restspots]])</f>
        <v>12</v>
      </c>
      <c r="Z30">
        <v>4</v>
      </c>
      <c r="AA30">
        <v>5</v>
      </c>
      <c r="AB30">
        <v>6</v>
      </c>
      <c r="AC30">
        <v>2</v>
      </c>
      <c r="AD30">
        <v>3</v>
      </c>
      <c r="AE30">
        <v>7</v>
      </c>
      <c r="AF30">
        <v>8</v>
      </c>
      <c r="AG30">
        <v>1</v>
      </c>
      <c r="AH30">
        <f>COUNTA(OfficeForms.Table[[#This Row],[pnuw_walktrails]:[pnuw_restspots]])</f>
        <v>8</v>
      </c>
      <c r="AI30" t="s">
        <v>162</v>
      </c>
      <c r="AJ30" t="s">
        <v>88</v>
      </c>
      <c r="AK30" t="s">
        <v>60</v>
      </c>
      <c r="AT30" t="s">
        <v>63</v>
      </c>
      <c r="AU30" t="s">
        <v>73</v>
      </c>
      <c r="AV30" t="s">
        <v>74</v>
      </c>
      <c r="AW30" t="s">
        <v>163</v>
      </c>
      <c r="AX30" t="s">
        <v>164</v>
      </c>
      <c r="AY30" s="1" t="s">
        <v>161</v>
      </c>
    </row>
    <row r="31" spans="1:51" hidden="1" x14ac:dyDescent="0.3">
      <c r="A31">
        <v>30</v>
      </c>
      <c r="B31" s="3">
        <v>45851.530844907407</v>
      </c>
      <c r="C31" s="3">
        <v>45851.533032407409</v>
      </c>
      <c r="D31" t="s">
        <v>49</v>
      </c>
      <c r="E31" t="s">
        <v>50</v>
      </c>
      <c r="F31" s="1" t="s">
        <v>165</v>
      </c>
      <c r="G31" t="s">
        <v>132</v>
      </c>
      <c r="H31" s="2">
        <v>45815</v>
      </c>
      <c r="I31" t="s">
        <v>53</v>
      </c>
      <c r="J31" t="s">
        <v>54</v>
      </c>
      <c r="K31" t="s">
        <v>55</v>
      </c>
      <c r="L31" t="s">
        <v>56</v>
      </c>
      <c r="M31">
        <v>9</v>
      </c>
      <c r="N31">
        <v>1</v>
      </c>
      <c r="O31">
        <v>2</v>
      </c>
      <c r="P31">
        <v>3</v>
      </c>
      <c r="Q31">
        <v>11</v>
      </c>
      <c r="R31">
        <v>8</v>
      </c>
      <c r="S31">
        <v>7</v>
      </c>
      <c r="T31">
        <v>10</v>
      </c>
      <c r="U31">
        <v>4</v>
      </c>
      <c r="V31">
        <v>12</v>
      </c>
      <c r="W31">
        <v>5</v>
      </c>
      <c r="X31">
        <v>6</v>
      </c>
      <c r="Y31">
        <f>COUNTA(OfficeForms.Table[[#This Row],[elements_shelters]:[elements_restspots]])</f>
        <v>12</v>
      </c>
      <c r="Z31">
        <v>2</v>
      </c>
      <c r="AA31">
        <v>1</v>
      </c>
      <c r="AB31">
        <v>5</v>
      </c>
      <c r="AC31">
        <v>6</v>
      </c>
      <c r="AD31">
        <v>7</v>
      </c>
      <c r="AE31">
        <v>8</v>
      </c>
      <c r="AF31">
        <v>3</v>
      </c>
      <c r="AG31">
        <v>4</v>
      </c>
      <c r="AH31">
        <f>COUNTA(OfficeForms.Table[[#This Row],[pnuw_walktrails]:[pnuw_restspots]])</f>
        <v>8</v>
      </c>
      <c r="AI31" t="s">
        <v>166</v>
      </c>
      <c r="AJ31" t="s">
        <v>88</v>
      </c>
      <c r="AK31" t="s">
        <v>60</v>
      </c>
      <c r="AT31" t="s">
        <v>81</v>
      </c>
      <c r="AU31" t="s">
        <v>73</v>
      </c>
      <c r="AV31" t="s">
        <v>125</v>
      </c>
      <c r="AW31" t="s">
        <v>167</v>
      </c>
      <c r="AX31" t="s">
        <v>67</v>
      </c>
      <c r="AY31" s="1" t="s">
        <v>165</v>
      </c>
    </row>
    <row r="32" spans="1:51" hidden="1" x14ac:dyDescent="0.3">
      <c r="A32">
        <v>31</v>
      </c>
      <c r="B32" s="3">
        <v>45851.533055555556</v>
      </c>
      <c r="C32" s="3">
        <v>45851.534583333334</v>
      </c>
      <c r="D32" t="s">
        <v>49</v>
      </c>
      <c r="E32" t="s">
        <v>50</v>
      </c>
      <c r="F32" s="1" t="s">
        <v>168</v>
      </c>
      <c r="G32" t="s">
        <v>132</v>
      </c>
      <c r="H32" s="2">
        <v>45815</v>
      </c>
      <c r="I32" t="s">
        <v>53</v>
      </c>
      <c r="J32" t="s">
        <v>54</v>
      </c>
      <c r="K32" t="s">
        <v>78</v>
      </c>
      <c r="L32" t="s">
        <v>56</v>
      </c>
      <c r="N32">
        <v>1</v>
      </c>
      <c r="P32">
        <v>2</v>
      </c>
      <c r="Y32">
        <f>COUNTA(OfficeForms.Table[[#This Row],[elements_shelters]:[elements_restspots]])</f>
        <v>2</v>
      </c>
      <c r="Z32">
        <v>1</v>
      </c>
      <c r="AA32">
        <v>2</v>
      </c>
      <c r="AB32">
        <v>3</v>
      </c>
      <c r="AC32">
        <v>6</v>
      </c>
      <c r="AD32">
        <v>8</v>
      </c>
      <c r="AE32">
        <v>4</v>
      </c>
      <c r="AF32">
        <v>5</v>
      </c>
      <c r="AG32">
        <v>7</v>
      </c>
      <c r="AH32">
        <f>COUNTA(OfficeForms.Table[[#This Row],[pnuw_walktrails]:[pnuw_restspots]])</f>
        <v>8</v>
      </c>
      <c r="AI32" t="s">
        <v>117</v>
      </c>
      <c r="AJ32" t="s">
        <v>88</v>
      </c>
      <c r="AK32" t="s">
        <v>59</v>
      </c>
      <c r="AL32" t="s">
        <v>60</v>
      </c>
      <c r="AN32" t="s">
        <v>61</v>
      </c>
      <c r="AP32" t="s">
        <v>59</v>
      </c>
      <c r="AR32" t="s">
        <v>61</v>
      </c>
      <c r="AT32" t="s">
        <v>63</v>
      </c>
      <c r="AU32" t="s">
        <v>73</v>
      </c>
      <c r="AV32" t="s">
        <v>125</v>
      </c>
      <c r="AW32" t="s">
        <v>167</v>
      </c>
      <c r="AX32" t="s">
        <v>67</v>
      </c>
      <c r="AY32" s="1" t="s">
        <v>168</v>
      </c>
    </row>
    <row r="33" spans="1:51" x14ac:dyDescent="0.3">
      <c r="A33">
        <v>32</v>
      </c>
      <c r="B33" s="3">
        <v>45851.534675925926</v>
      </c>
      <c r="C33" s="3">
        <v>45851.541562500002</v>
      </c>
      <c r="D33" t="s">
        <v>49</v>
      </c>
      <c r="E33" t="s">
        <v>50</v>
      </c>
      <c r="F33" s="1" t="s">
        <v>169</v>
      </c>
      <c r="G33" t="s">
        <v>132</v>
      </c>
      <c r="H33" s="2">
        <v>45815</v>
      </c>
      <c r="I33" t="s">
        <v>53</v>
      </c>
      <c r="J33" t="s">
        <v>54</v>
      </c>
      <c r="K33" t="s">
        <v>78</v>
      </c>
      <c r="L33" t="s">
        <v>170</v>
      </c>
      <c r="M33">
        <v>12</v>
      </c>
      <c r="N33">
        <v>1</v>
      </c>
      <c r="O33">
        <v>3</v>
      </c>
      <c r="P33">
        <v>2</v>
      </c>
      <c r="Q33">
        <v>5</v>
      </c>
      <c r="R33">
        <v>4</v>
      </c>
      <c r="S33">
        <v>11</v>
      </c>
      <c r="T33">
        <v>10</v>
      </c>
      <c r="U33">
        <v>9</v>
      </c>
      <c r="V33">
        <v>6</v>
      </c>
      <c r="W33">
        <v>8</v>
      </c>
      <c r="X33">
        <v>7</v>
      </c>
      <c r="Y33">
        <f>COUNTA(OfficeForms.Table[[#This Row],[elements_shelters]:[elements_restspots]])</f>
        <v>12</v>
      </c>
      <c r="Z33">
        <v>1</v>
      </c>
      <c r="AA33">
        <v>2</v>
      </c>
      <c r="AB33">
        <v>4</v>
      </c>
      <c r="AC33">
        <v>3</v>
      </c>
      <c r="AD33">
        <v>7</v>
      </c>
      <c r="AE33">
        <v>5</v>
      </c>
      <c r="AF33">
        <v>6</v>
      </c>
      <c r="AG33">
        <v>8</v>
      </c>
      <c r="AH33">
        <f>COUNTA(OfficeForms.Table[[#This Row],[pnuw_walktrails]:[pnuw_restspots]])</f>
        <v>8</v>
      </c>
      <c r="AI33" t="s">
        <v>171</v>
      </c>
      <c r="AJ33" t="s">
        <v>172</v>
      </c>
      <c r="AK33" t="s">
        <v>59</v>
      </c>
      <c r="AL33" t="s">
        <v>59</v>
      </c>
      <c r="AM33" t="s">
        <v>173</v>
      </c>
      <c r="AN33" t="s">
        <v>174</v>
      </c>
      <c r="AP33" t="s">
        <v>59</v>
      </c>
      <c r="AQ33" t="s">
        <v>175</v>
      </c>
      <c r="AR33" t="s">
        <v>61</v>
      </c>
      <c r="AT33" t="s">
        <v>63</v>
      </c>
      <c r="AU33" t="s">
        <v>73</v>
      </c>
      <c r="AV33" t="s">
        <v>99</v>
      </c>
      <c r="AW33" t="s">
        <v>148</v>
      </c>
      <c r="AX33" t="s">
        <v>67</v>
      </c>
      <c r="AY33" s="1" t="s">
        <v>169</v>
      </c>
    </row>
    <row r="34" spans="1:51" hidden="1" x14ac:dyDescent="0.3">
      <c r="A34">
        <v>33</v>
      </c>
      <c r="B34" s="3">
        <v>45851.541585648149</v>
      </c>
      <c r="C34" s="3">
        <v>45851.54310185185</v>
      </c>
      <c r="D34" t="s">
        <v>49</v>
      </c>
      <c r="E34" t="s">
        <v>50</v>
      </c>
      <c r="F34" s="1" t="s">
        <v>176</v>
      </c>
      <c r="G34" t="s">
        <v>132</v>
      </c>
      <c r="H34" s="2">
        <v>45815</v>
      </c>
      <c r="I34" t="s">
        <v>53</v>
      </c>
      <c r="J34" t="s">
        <v>54</v>
      </c>
      <c r="K34" t="s">
        <v>78</v>
      </c>
      <c r="L34" t="s">
        <v>56</v>
      </c>
      <c r="M34">
        <v>2</v>
      </c>
      <c r="N34">
        <v>1</v>
      </c>
      <c r="O34">
        <v>5</v>
      </c>
      <c r="P34">
        <v>3</v>
      </c>
      <c r="Q34">
        <v>11</v>
      </c>
      <c r="R34">
        <v>4</v>
      </c>
      <c r="S34">
        <v>6</v>
      </c>
      <c r="T34">
        <v>7</v>
      </c>
      <c r="U34">
        <v>8</v>
      </c>
      <c r="V34">
        <v>12</v>
      </c>
      <c r="W34">
        <v>9</v>
      </c>
      <c r="X34">
        <v>10</v>
      </c>
      <c r="Y34">
        <f>COUNTA(OfficeForms.Table[[#This Row],[elements_shelters]:[elements_restspots]])</f>
        <v>12</v>
      </c>
      <c r="Z34">
        <v>2</v>
      </c>
      <c r="AA34">
        <v>1</v>
      </c>
      <c r="AB34">
        <v>3</v>
      </c>
      <c r="AC34">
        <v>4</v>
      </c>
      <c r="AD34">
        <v>8</v>
      </c>
      <c r="AE34">
        <v>7</v>
      </c>
      <c r="AF34">
        <v>5</v>
      </c>
      <c r="AG34">
        <v>6</v>
      </c>
      <c r="AH34">
        <f>COUNTA(OfficeForms.Table[[#This Row],[pnuw_walktrails]:[pnuw_restspots]])</f>
        <v>8</v>
      </c>
      <c r="AI34" t="s">
        <v>117</v>
      </c>
      <c r="AJ34" t="s">
        <v>58</v>
      </c>
      <c r="AK34" t="s">
        <v>59</v>
      </c>
      <c r="AL34" t="s">
        <v>59</v>
      </c>
      <c r="AM34" t="s">
        <v>98</v>
      </c>
      <c r="AN34" t="s">
        <v>61</v>
      </c>
      <c r="AP34" t="s">
        <v>59</v>
      </c>
      <c r="AQ34" t="s">
        <v>118</v>
      </c>
      <c r="AR34" t="s">
        <v>61</v>
      </c>
      <c r="AT34" t="s">
        <v>81</v>
      </c>
      <c r="AU34" t="s">
        <v>73</v>
      </c>
      <c r="AV34" t="s">
        <v>74</v>
      </c>
      <c r="AW34" t="s">
        <v>144</v>
      </c>
      <c r="AX34" t="s">
        <v>67</v>
      </c>
      <c r="AY34" s="1" t="s">
        <v>176</v>
      </c>
    </row>
    <row r="35" spans="1:51" hidden="1" x14ac:dyDescent="0.3">
      <c r="A35">
        <v>34</v>
      </c>
      <c r="B35" s="3">
        <v>45851.543113425927</v>
      </c>
      <c r="C35" s="3">
        <v>45851.544872685183</v>
      </c>
      <c r="D35" t="s">
        <v>49</v>
      </c>
      <c r="E35" t="s">
        <v>50</v>
      </c>
      <c r="F35" s="1" t="s">
        <v>177</v>
      </c>
      <c r="G35" t="s">
        <v>132</v>
      </c>
      <c r="H35" s="2">
        <v>45815</v>
      </c>
      <c r="I35" t="s">
        <v>53</v>
      </c>
      <c r="J35" t="s">
        <v>54</v>
      </c>
      <c r="K35" t="s">
        <v>78</v>
      </c>
      <c r="L35" t="s">
        <v>56</v>
      </c>
      <c r="M35">
        <v>9</v>
      </c>
      <c r="N35">
        <v>2</v>
      </c>
      <c r="O35">
        <v>4</v>
      </c>
      <c r="P35">
        <v>11</v>
      </c>
      <c r="Q35">
        <v>12</v>
      </c>
      <c r="R35">
        <v>6</v>
      </c>
      <c r="S35">
        <v>1</v>
      </c>
      <c r="T35">
        <v>3</v>
      </c>
      <c r="U35">
        <v>7</v>
      </c>
      <c r="V35">
        <v>10</v>
      </c>
      <c r="W35">
        <v>5</v>
      </c>
      <c r="X35">
        <v>8</v>
      </c>
      <c r="Y35">
        <f>COUNTA(OfficeForms.Table[[#This Row],[elements_shelters]:[elements_restspots]])</f>
        <v>12</v>
      </c>
      <c r="Z35">
        <v>2</v>
      </c>
      <c r="AA35">
        <v>4</v>
      </c>
      <c r="AB35">
        <v>8</v>
      </c>
      <c r="AC35">
        <v>6</v>
      </c>
      <c r="AD35">
        <v>1</v>
      </c>
      <c r="AE35">
        <v>5</v>
      </c>
      <c r="AF35">
        <v>3</v>
      </c>
      <c r="AG35">
        <v>7</v>
      </c>
      <c r="AH35">
        <f>COUNTA(OfficeForms.Table[[#This Row],[pnuw_walktrails]:[pnuw_restspots]])</f>
        <v>8</v>
      </c>
      <c r="AI35" t="s">
        <v>117</v>
      </c>
      <c r="AJ35" t="s">
        <v>88</v>
      </c>
      <c r="AK35" t="s">
        <v>59</v>
      </c>
      <c r="AL35" t="s">
        <v>60</v>
      </c>
      <c r="AN35" t="s">
        <v>111</v>
      </c>
      <c r="AP35" t="s">
        <v>59</v>
      </c>
      <c r="AQ35" t="s">
        <v>178</v>
      </c>
      <c r="AR35" t="s">
        <v>111</v>
      </c>
      <c r="AT35" t="s">
        <v>63</v>
      </c>
      <c r="AU35" t="s">
        <v>73</v>
      </c>
      <c r="AV35" t="s">
        <v>74</v>
      </c>
      <c r="AW35" t="s">
        <v>144</v>
      </c>
      <c r="AX35" t="s">
        <v>67</v>
      </c>
      <c r="AY35" s="1" t="s">
        <v>177</v>
      </c>
    </row>
    <row r="36" spans="1:51" hidden="1" x14ac:dyDescent="0.3">
      <c r="A36">
        <v>35</v>
      </c>
      <c r="B36" s="3">
        <v>45851.545023148145</v>
      </c>
      <c r="C36" s="3">
        <v>45851.546736111108</v>
      </c>
      <c r="D36" t="s">
        <v>49</v>
      </c>
      <c r="E36" t="s">
        <v>50</v>
      </c>
      <c r="F36" s="1" t="s">
        <v>179</v>
      </c>
      <c r="G36" t="s">
        <v>132</v>
      </c>
      <c r="H36" s="2">
        <v>45816</v>
      </c>
      <c r="I36" t="s">
        <v>53</v>
      </c>
      <c r="J36" t="s">
        <v>54</v>
      </c>
      <c r="K36" t="s">
        <v>78</v>
      </c>
      <c r="L36" t="s">
        <v>56</v>
      </c>
      <c r="M36">
        <v>3</v>
      </c>
      <c r="N36">
        <v>2</v>
      </c>
      <c r="O36">
        <v>4</v>
      </c>
      <c r="P36">
        <v>1</v>
      </c>
      <c r="Q36">
        <v>10</v>
      </c>
      <c r="R36">
        <v>11</v>
      </c>
      <c r="S36">
        <v>12</v>
      </c>
      <c r="T36">
        <v>9</v>
      </c>
      <c r="U36">
        <v>8</v>
      </c>
      <c r="V36">
        <v>7</v>
      </c>
      <c r="W36">
        <v>6</v>
      </c>
      <c r="X36">
        <v>5</v>
      </c>
      <c r="Y36">
        <f>COUNTA(OfficeForms.Table[[#This Row],[elements_shelters]:[elements_restspots]])</f>
        <v>12</v>
      </c>
      <c r="Z36">
        <v>2</v>
      </c>
      <c r="AA36">
        <v>4</v>
      </c>
      <c r="AB36">
        <v>1</v>
      </c>
      <c r="AC36">
        <v>3</v>
      </c>
      <c r="AD36">
        <v>6</v>
      </c>
      <c r="AE36">
        <v>5</v>
      </c>
      <c r="AF36">
        <v>7</v>
      </c>
      <c r="AG36">
        <v>8</v>
      </c>
      <c r="AH36">
        <f>COUNTA(OfficeForms.Table[[#This Row],[pnuw_walktrails]:[pnuw_restspots]])</f>
        <v>8</v>
      </c>
      <c r="AI36" t="s">
        <v>180</v>
      </c>
      <c r="AJ36" t="s">
        <v>72</v>
      </c>
      <c r="AK36" t="s">
        <v>60</v>
      </c>
      <c r="AT36" t="s">
        <v>81</v>
      </c>
      <c r="AU36" t="s">
        <v>64</v>
      </c>
      <c r="AV36" t="s">
        <v>74</v>
      </c>
      <c r="AW36" t="s">
        <v>148</v>
      </c>
      <c r="AX36" t="s">
        <v>67</v>
      </c>
      <c r="AY36" s="1" t="s">
        <v>179</v>
      </c>
    </row>
    <row r="37" spans="1:51" hidden="1" x14ac:dyDescent="0.3">
      <c r="A37">
        <v>36</v>
      </c>
      <c r="B37" s="3">
        <v>45851.546840277777</v>
      </c>
      <c r="C37" s="3">
        <v>45851.560798611114</v>
      </c>
      <c r="D37" t="s">
        <v>49</v>
      </c>
      <c r="E37" t="s">
        <v>50</v>
      </c>
      <c r="F37" s="1" t="s">
        <v>181</v>
      </c>
      <c r="G37" t="s">
        <v>132</v>
      </c>
      <c r="H37" s="2">
        <v>45816</v>
      </c>
      <c r="I37" t="s">
        <v>53</v>
      </c>
      <c r="J37" t="s">
        <v>54</v>
      </c>
      <c r="K37" t="s">
        <v>55</v>
      </c>
      <c r="L37" t="s">
        <v>86</v>
      </c>
      <c r="M37">
        <v>10</v>
      </c>
      <c r="N37">
        <v>6</v>
      </c>
      <c r="O37">
        <v>9</v>
      </c>
      <c r="P37">
        <v>5</v>
      </c>
      <c r="Q37">
        <v>12</v>
      </c>
      <c r="R37">
        <v>7</v>
      </c>
      <c r="S37">
        <v>1</v>
      </c>
      <c r="T37">
        <v>2</v>
      </c>
      <c r="U37">
        <v>8</v>
      </c>
      <c r="V37">
        <v>11</v>
      </c>
      <c r="W37">
        <v>4</v>
      </c>
      <c r="X37">
        <v>3</v>
      </c>
      <c r="Y37">
        <f>COUNTA(OfficeForms.Table[[#This Row],[elements_shelters]:[elements_restspots]])</f>
        <v>12</v>
      </c>
      <c r="Z37">
        <v>2</v>
      </c>
      <c r="AA37">
        <v>7</v>
      </c>
      <c r="AB37">
        <v>8</v>
      </c>
      <c r="AC37">
        <v>3</v>
      </c>
      <c r="AD37">
        <v>6</v>
      </c>
      <c r="AE37">
        <v>4</v>
      </c>
      <c r="AF37">
        <v>1</v>
      </c>
      <c r="AG37">
        <v>5</v>
      </c>
      <c r="AH37">
        <f>COUNTA(OfficeForms.Table[[#This Row],[pnuw_walktrails]:[pnuw_restspots]])</f>
        <v>8</v>
      </c>
      <c r="AI37" t="s">
        <v>182</v>
      </c>
      <c r="AJ37" t="s">
        <v>72</v>
      </c>
      <c r="AK37" t="s">
        <v>60</v>
      </c>
      <c r="AT37" t="s">
        <v>63</v>
      </c>
      <c r="AU37" t="s">
        <v>64</v>
      </c>
      <c r="AV37" t="s">
        <v>74</v>
      </c>
      <c r="AW37" t="s">
        <v>148</v>
      </c>
      <c r="AX37" t="s">
        <v>67</v>
      </c>
      <c r="AY37" s="1" t="s">
        <v>181</v>
      </c>
    </row>
    <row r="38" spans="1:51" x14ac:dyDescent="0.3">
      <c r="A38">
        <v>37</v>
      </c>
      <c r="B38" s="3">
        <v>45851.578009259261</v>
      </c>
      <c r="C38" s="3">
        <v>45851.578148148146</v>
      </c>
      <c r="D38" t="s">
        <v>49</v>
      </c>
      <c r="E38" t="s">
        <v>50</v>
      </c>
      <c r="F38" s="1" t="s">
        <v>183</v>
      </c>
      <c r="G38" t="s">
        <v>132</v>
      </c>
      <c r="H38" s="2">
        <v>45816</v>
      </c>
      <c r="I38" t="s">
        <v>53</v>
      </c>
      <c r="J38" t="s">
        <v>54</v>
      </c>
      <c r="K38" t="s">
        <v>103</v>
      </c>
      <c r="L38" t="s">
        <v>86</v>
      </c>
      <c r="M38">
        <v>10</v>
      </c>
      <c r="N38">
        <v>3</v>
      </c>
      <c r="O38">
        <v>1</v>
      </c>
      <c r="P38">
        <v>2</v>
      </c>
      <c r="Q38">
        <v>11</v>
      </c>
      <c r="R38">
        <v>6</v>
      </c>
      <c r="S38">
        <v>7</v>
      </c>
      <c r="T38">
        <v>8</v>
      </c>
      <c r="U38">
        <v>9</v>
      </c>
      <c r="V38">
        <v>12</v>
      </c>
      <c r="W38">
        <v>5</v>
      </c>
      <c r="X38">
        <v>4</v>
      </c>
      <c r="Y38">
        <f>COUNTA(OfficeForms.Table[[#This Row],[elements_shelters]:[elements_restspots]])</f>
        <v>12</v>
      </c>
      <c r="Z38">
        <v>3</v>
      </c>
      <c r="AA38">
        <v>6</v>
      </c>
      <c r="AB38">
        <v>4</v>
      </c>
      <c r="AC38">
        <v>1</v>
      </c>
      <c r="AD38">
        <v>8</v>
      </c>
      <c r="AE38">
        <v>7</v>
      </c>
      <c r="AF38">
        <v>5</v>
      </c>
      <c r="AG38">
        <v>2</v>
      </c>
      <c r="AH38">
        <f>COUNTA(OfficeForms.Table[[#This Row],[pnuw_walktrails]:[pnuw_restspots]])</f>
        <v>8</v>
      </c>
      <c r="AI38" t="s">
        <v>117</v>
      </c>
      <c r="AJ38" t="s">
        <v>184</v>
      </c>
      <c r="AK38" t="s">
        <v>60</v>
      </c>
      <c r="AT38" t="s">
        <v>63</v>
      </c>
      <c r="AU38" t="s">
        <v>73</v>
      </c>
      <c r="AV38" t="s">
        <v>125</v>
      </c>
      <c r="AW38" t="s">
        <v>148</v>
      </c>
      <c r="AX38" t="s">
        <v>67</v>
      </c>
      <c r="AY38" s="1" t="s">
        <v>183</v>
      </c>
    </row>
    <row r="39" spans="1:51" hidden="1" x14ac:dyDescent="0.3">
      <c r="A39">
        <v>38</v>
      </c>
      <c r="B39" s="3">
        <v>45851.5781712963</v>
      </c>
      <c r="C39" s="3">
        <v>45851.580196759256</v>
      </c>
      <c r="D39" t="s">
        <v>49</v>
      </c>
      <c r="E39" t="s">
        <v>50</v>
      </c>
      <c r="F39" s="1" t="s">
        <v>185</v>
      </c>
      <c r="G39" t="s">
        <v>132</v>
      </c>
      <c r="H39" s="2">
        <v>45816</v>
      </c>
      <c r="I39" t="s">
        <v>53</v>
      </c>
      <c r="J39" t="s">
        <v>54</v>
      </c>
      <c r="K39" t="s">
        <v>78</v>
      </c>
      <c r="L39" t="s">
        <v>86</v>
      </c>
      <c r="M39">
        <v>1</v>
      </c>
      <c r="N39">
        <v>3</v>
      </c>
      <c r="O39">
        <v>9</v>
      </c>
      <c r="P39">
        <v>2</v>
      </c>
      <c r="Q39">
        <v>12</v>
      </c>
      <c r="R39">
        <v>10</v>
      </c>
      <c r="S39">
        <v>7</v>
      </c>
      <c r="T39">
        <v>8</v>
      </c>
      <c r="U39">
        <v>4</v>
      </c>
      <c r="V39">
        <v>11</v>
      </c>
      <c r="W39">
        <v>5</v>
      </c>
      <c r="X39">
        <v>6</v>
      </c>
      <c r="Y39">
        <f>COUNTA(OfficeForms.Table[[#This Row],[elements_shelters]:[elements_restspots]])</f>
        <v>12</v>
      </c>
      <c r="Z39">
        <v>2</v>
      </c>
      <c r="AA39">
        <v>5</v>
      </c>
      <c r="AB39">
        <v>1</v>
      </c>
      <c r="AC39">
        <v>4</v>
      </c>
      <c r="AD39">
        <v>7</v>
      </c>
      <c r="AE39">
        <v>5</v>
      </c>
      <c r="AF39">
        <v>8</v>
      </c>
      <c r="AG39">
        <v>6</v>
      </c>
      <c r="AH39">
        <f>COUNTA(OfficeForms.Table[[#This Row],[pnuw_walktrails]:[pnuw_restspots]])</f>
        <v>8</v>
      </c>
      <c r="AI39" t="s">
        <v>186</v>
      </c>
      <c r="AJ39" t="s">
        <v>80</v>
      </c>
      <c r="AK39" t="s">
        <v>60</v>
      </c>
      <c r="AT39" t="s">
        <v>63</v>
      </c>
      <c r="AU39" t="s">
        <v>64</v>
      </c>
      <c r="AV39" t="s">
        <v>82</v>
      </c>
      <c r="AW39" t="s">
        <v>148</v>
      </c>
      <c r="AX39" t="s">
        <v>67</v>
      </c>
      <c r="AY39" s="1" t="s">
        <v>185</v>
      </c>
    </row>
    <row r="40" spans="1:51" hidden="1" x14ac:dyDescent="0.3">
      <c r="A40">
        <v>39</v>
      </c>
      <c r="B40" s="3">
        <v>45851.580208333333</v>
      </c>
      <c r="C40" s="3">
        <v>45851.582708333335</v>
      </c>
      <c r="D40" t="s">
        <v>49</v>
      </c>
      <c r="E40" t="s">
        <v>50</v>
      </c>
      <c r="F40" s="1" t="s">
        <v>187</v>
      </c>
      <c r="G40" t="s">
        <v>132</v>
      </c>
      <c r="H40" s="2">
        <v>45816</v>
      </c>
      <c r="I40" t="s">
        <v>53</v>
      </c>
      <c r="J40" t="s">
        <v>54</v>
      </c>
      <c r="K40" t="s">
        <v>103</v>
      </c>
      <c r="L40" t="s">
        <v>56</v>
      </c>
      <c r="M40">
        <v>2</v>
      </c>
      <c r="N40">
        <v>4</v>
      </c>
      <c r="O40">
        <v>3</v>
      </c>
      <c r="P40">
        <v>5</v>
      </c>
      <c r="Q40">
        <v>12</v>
      </c>
      <c r="R40">
        <v>6</v>
      </c>
      <c r="S40">
        <v>9</v>
      </c>
      <c r="T40">
        <v>1</v>
      </c>
      <c r="U40">
        <v>8</v>
      </c>
      <c r="V40">
        <v>10</v>
      </c>
      <c r="W40">
        <v>11</v>
      </c>
      <c r="X40">
        <v>7</v>
      </c>
      <c r="Y40">
        <f>COUNTA(OfficeForms.Table[[#This Row],[elements_shelters]:[elements_restspots]])</f>
        <v>12</v>
      </c>
      <c r="Z40">
        <v>1</v>
      </c>
      <c r="AA40">
        <v>3</v>
      </c>
      <c r="AB40">
        <v>4</v>
      </c>
      <c r="AC40">
        <v>7</v>
      </c>
      <c r="AD40">
        <v>8</v>
      </c>
      <c r="AE40">
        <v>2</v>
      </c>
      <c r="AF40">
        <v>6</v>
      </c>
      <c r="AG40">
        <v>5</v>
      </c>
      <c r="AH40">
        <f>COUNTA(OfficeForms.Table[[#This Row],[pnuw_walktrails]:[pnuw_restspots]])</f>
        <v>8</v>
      </c>
      <c r="AI40" t="s">
        <v>188</v>
      </c>
      <c r="AJ40" t="s">
        <v>80</v>
      </c>
      <c r="AK40" t="s">
        <v>59</v>
      </c>
      <c r="AL40" t="s">
        <v>59</v>
      </c>
      <c r="AM40" t="s">
        <v>189</v>
      </c>
      <c r="AN40" t="s">
        <v>61</v>
      </c>
      <c r="AP40" t="s">
        <v>59</v>
      </c>
      <c r="AQ40" t="s">
        <v>118</v>
      </c>
      <c r="AR40" t="s">
        <v>61</v>
      </c>
      <c r="AT40" t="s">
        <v>81</v>
      </c>
      <c r="AU40" t="s">
        <v>64</v>
      </c>
      <c r="AV40" t="s">
        <v>82</v>
      </c>
      <c r="AW40" t="s">
        <v>148</v>
      </c>
      <c r="AX40" t="s">
        <v>67</v>
      </c>
      <c r="AY40" s="1" t="s">
        <v>187</v>
      </c>
    </row>
    <row r="41" spans="1:51" hidden="1" x14ac:dyDescent="0.3">
      <c r="A41">
        <v>40</v>
      </c>
      <c r="B41" s="3">
        <v>45851.582743055558</v>
      </c>
      <c r="C41" s="3">
        <v>45851.584965277776</v>
      </c>
      <c r="D41" t="s">
        <v>49</v>
      </c>
      <c r="E41" t="s">
        <v>50</v>
      </c>
      <c r="F41" s="1" t="s">
        <v>190</v>
      </c>
      <c r="G41" t="s">
        <v>132</v>
      </c>
      <c r="H41" s="2">
        <v>45816</v>
      </c>
      <c r="I41" t="s">
        <v>53</v>
      </c>
      <c r="J41" t="s">
        <v>54</v>
      </c>
      <c r="K41" t="s">
        <v>103</v>
      </c>
      <c r="L41" t="s">
        <v>56</v>
      </c>
      <c r="M41">
        <v>8</v>
      </c>
      <c r="N41">
        <v>2</v>
      </c>
      <c r="O41">
        <v>3</v>
      </c>
      <c r="P41">
        <v>1</v>
      </c>
      <c r="Q41">
        <v>5</v>
      </c>
      <c r="R41">
        <v>4</v>
      </c>
      <c r="S41">
        <v>11</v>
      </c>
      <c r="T41">
        <v>9</v>
      </c>
      <c r="U41">
        <v>10</v>
      </c>
      <c r="V41">
        <v>12</v>
      </c>
      <c r="W41">
        <v>6</v>
      </c>
      <c r="X41">
        <v>7</v>
      </c>
      <c r="Y41">
        <f>COUNTA(OfficeForms.Table[[#This Row],[elements_shelters]:[elements_restspots]])</f>
        <v>12</v>
      </c>
      <c r="Z41">
        <v>2</v>
      </c>
      <c r="AA41">
        <v>3</v>
      </c>
      <c r="AB41">
        <v>1</v>
      </c>
      <c r="AC41">
        <v>4</v>
      </c>
      <c r="AD41">
        <v>8</v>
      </c>
      <c r="AE41">
        <v>7</v>
      </c>
      <c r="AF41">
        <v>5</v>
      </c>
      <c r="AG41">
        <v>6</v>
      </c>
      <c r="AH41">
        <f>COUNTA(OfficeForms.Table[[#This Row],[pnuw_walktrails]:[pnuw_restspots]])</f>
        <v>8</v>
      </c>
      <c r="AI41" t="s">
        <v>117</v>
      </c>
      <c r="AJ41" t="s">
        <v>80</v>
      </c>
      <c r="AK41" t="s">
        <v>59</v>
      </c>
      <c r="AL41" t="s">
        <v>60</v>
      </c>
      <c r="AN41" t="s">
        <v>61</v>
      </c>
      <c r="AP41" t="s">
        <v>60</v>
      </c>
      <c r="AR41" t="s">
        <v>61</v>
      </c>
      <c r="AT41" t="s">
        <v>81</v>
      </c>
      <c r="AU41" t="s">
        <v>64</v>
      </c>
      <c r="AV41" t="s">
        <v>74</v>
      </c>
      <c r="AW41" t="s">
        <v>83</v>
      </c>
      <c r="AX41" t="s">
        <v>67</v>
      </c>
      <c r="AY41" s="1" t="s">
        <v>190</v>
      </c>
    </row>
    <row r="42" spans="1:51" hidden="1" x14ac:dyDescent="0.3">
      <c r="A42">
        <v>41</v>
      </c>
      <c r="B42" s="3">
        <v>45851.584988425922</v>
      </c>
      <c r="C42" s="3">
        <v>45851.587523148148</v>
      </c>
      <c r="D42" t="s">
        <v>49</v>
      </c>
      <c r="E42" t="s">
        <v>50</v>
      </c>
      <c r="F42" s="1" t="s">
        <v>191</v>
      </c>
      <c r="G42" t="s">
        <v>132</v>
      </c>
      <c r="H42" s="2">
        <v>45816</v>
      </c>
      <c r="I42" t="s">
        <v>53</v>
      </c>
      <c r="J42" t="s">
        <v>69</v>
      </c>
      <c r="K42" t="s">
        <v>55</v>
      </c>
      <c r="L42" t="s">
        <v>56</v>
      </c>
      <c r="M42">
        <v>12</v>
      </c>
      <c r="N42">
        <v>1</v>
      </c>
      <c r="O42">
        <v>2</v>
      </c>
      <c r="P42">
        <v>3</v>
      </c>
      <c r="Q42">
        <v>4</v>
      </c>
      <c r="R42">
        <v>8</v>
      </c>
      <c r="S42">
        <v>10</v>
      </c>
      <c r="T42">
        <v>5</v>
      </c>
      <c r="U42">
        <v>9</v>
      </c>
      <c r="V42">
        <v>11</v>
      </c>
      <c r="W42">
        <v>7</v>
      </c>
      <c r="X42">
        <v>6</v>
      </c>
      <c r="Y42">
        <f>COUNTA(OfficeForms.Table[[#This Row],[elements_shelters]:[elements_restspots]])</f>
        <v>12</v>
      </c>
      <c r="Z42">
        <v>1</v>
      </c>
      <c r="AA42">
        <v>2</v>
      </c>
      <c r="AB42">
        <v>3</v>
      </c>
      <c r="AC42">
        <v>5</v>
      </c>
      <c r="AD42">
        <v>6</v>
      </c>
      <c r="AE42">
        <v>7</v>
      </c>
      <c r="AF42">
        <v>8</v>
      </c>
      <c r="AG42">
        <v>4</v>
      </c>
      <c r="AH42">
        <f>COUNTA(OfficeForms.Table[[#This Row],[pnuw_walktrails]:[pnuw_restspots]])</f>
        <v>8</v>
      </c>
      <c r="AI42" t="s">
        <v>192</v>
      </c>
      <c r="AJ42" t="s">
        <v>72</v>
      </c>
      <c r="AK42" t="s">
        <v>59</v>
      </c>
      <c r="AL42" t="s">
        <v>59</v>
      </c>
      <c r="AM42" t="s">
        <v>193</v>
      </c>
      <c r="AN42" t="s">
        <v>174</v>
      </c>
      <c r="AP42" t="s">
        <v>60</v>
      </c>
      <c r="AR42" t="s">
        <v>61</v>
      </c>
      <c r="AT42" t="s">
        <v>63</v>
      </c>
      <c r="AU42" t="s">
        <v>73</v>
      </c>
      <c r="AV42" t="s">
        <v>74</v>
      </c>
      <c r="AW42" t="s">
        <v>194</v>
      </c>
      <c r="AX42" t="s">
        <v>195</v>
      </c>
      <c r="AY42" s="1" t="s">
        <v>191</v>
      </c>
    </row>
    <row r="43" spans="1:51" hidden="1" x14ac:dyDescent="0.3">
      <c r="A43">
        <v>42</v>
      </c>
      <c r="B43" s="3">
        <v>45851.587546296294</v>
      </c>
      <c r="C43" s="3">
        <v>45851.589097222219</v>
      </c>
      <c r="D43" t="s">
        <v>49</v>
      </c>
      <c r="E43" t="s">
        <v>50</v>
      </c>
      <c r="F43" s="1" t="s">
        <v>196</v>
      </c>
      <c r="G43" t="s">
        <v>132</v>
      </c>
      <c r="H43" s="2">
        <v>45816</v>
      </c>
      <c r="I43" t="s">
        <v>53</v>
      </c>
      <c r="J43" t="s">
        <v>85</v>
      </c>
      <c r="K43" t="s">
        <v>78</v>
      </c>
      <c r="L43" t="s">
        <v>56</v>
      </c>
      <c r="M43">
        <v>8</v>
      </c>
      <c r="N43">
        <v>1</v>
      </c>
      <c r="O43">
        <v>5</v>
      </c>
      <c r="P43">
        <v>2</v>
      </c>
      <c r="Q43">
        <v>3</v>
      </c>
      <c r="R43">
        <v>4</v>
      </c>
      <c r="S43">
        <v>10</v>
      </c>
      <c r="T43">
        <v>9</v>
      </c>
      <c r="U43">
        <v>11</v>
      </c>
      <c r="V43">
        <v>12</v>
      </c>
      <c r="W43">
        <v>6</v>
      </c>
      <c r="X43">
        <v>7</v>
      </c>
      <c r="Y43">
        <f>COUNTA(OfficeForms.Table[[#This Row],[elements_shelters]:[elements_restspots]])</f>
        <v>12</v>
      </c>
      <c r="Z43">
        <v>1</v>
      </c>
      <c r="AA43">
        <v>3</v>
      </c>
      <c r="AB43">
        <v>4</v>
      </c>
      <c r="AC43">
        <v>2</v>
      </c>
      <c r="AD43">
        <v>6</v>
      </c>
      <c r="AE43">
        <v>8</v>
      </c>
      <c r="AF43">
        <v>7</v>
      </c>
      <c r="AG43">
        <v>5</v>
      </c>
      <c r="AH43">
        <f>COUNTA(OfficeForms.Table[[#This Row],[pnuw_walktrails]:[pnuw_restspots]])</f>
        <v>8</v>
      </c>
      <c r="AI43" t="s">
        <v>117</v>
      </c>
      <c r="AJ43" t="s">
        <v>88</v>
      </c>
      <c r="AK43" t="s">
        <v>59</v>
      </c>
      <c r="AL43" t="s">
        <v>59</v>
      </c>
      <c r="AM43" t="s">
        <v>197</v>
      </c>
      <c r="AN43" t="s">
        <v>111</v>
      </c>
      <c r="AP43" t="s">
        <v>59</v>
      </c>
      <c r="AQ43" t="s">
        <v>198</v>
      </c>
      <c r="AR43" t="s">
        <v>61</v>
      </c>
      <c r="AT43" t="s">
        <v>63</v>
      </c>
      <c r="AU43" t="s">
        <v>64</v>
      </c>
      <c r="AV43" t="s">
        <v>65</v>
      </c>
      <c r="AW43" t="s">
        <v>199</v>
      </c>
      <c r="AX43" t="s">
        <v>200</v>
      </c>
      <c r="AY43" s="1" t="s">
        <v>196</v>
      </c>
    </row>
    <row r="44" spans="1:51" hidden="1" x14ac:dyDescent="0.3">
      <c r="A44">
        <v>43</v>
      </c>
      <c r="B44" s="3">
        <v>45851.589189814818</v>
      </c>
      <c r="C44" s="3">
        <v>45851.59170138889</v>
      </c>
      <c r="D44" t="s">
        <v>49</v>
      </c>
      <c r="E44" t="s">
        <v>50</v>
      </c>
      <c r="F44" s="1" t="s">
        <v>201</v>
      </c>
      <c r="G44" t="s">
        <v>132</v>
      </c>
      <c r="H44" s="2">
        <v>45816</v>
      </c>
      <c r="I44" t="s">
        <v>53</v>
      </c>
      <c r="J44" t="s">
        <v>85</v>
      </c>
      <c r="K44" t="s">
        <v>78</v>
      </c>
      <c r="L44" t="s">
        <v>56</v>
      </c>
      <c r="M44">
        <v>3</v>
      </c>
      <c r="N44">
        <v>1</v>
      </c>
      <c r="O44">
        <v>2</v>
      </c>
      <c r="P44">
        <v>10</v>
      </c>
      <c r="Q44">
        <v>11</v>
      </c>
      <c r="R44">
        <v>9</v>
      </c>
      <c r="S44">
        <v>12</v>
      </c>
      <c r="T44">
        <v>7</v>
      </c>
      <c r="U44">
        <v>6</v>
      </c>
      <c r="V44">
        <v>8</v>
      </c>
      <c r="W44">
        <v>5</v>
      </c>
      <c r="X44">
        <v>4</v>
      </c>
      <c r="Y44">
        <f>COUNTA(OfficeForms.Table[[#This Row],[elements_shelters]:[elements_restspots]])</f>
        <v>12</v>
      </c>
      <c r="Z44">
        <v>5</v>
      </c>
      <c r="AA44">
        <v>7</v>
      </c>
      <c r="AB44">
        <v>6</v>
      </c>
      <c r="AC44">
        <v>2</v>
      </c>
      <c r="AD44">
        <v>8</v>
      </c>
      <c r="AE44">
        <v>4</v>
      </c>
      <c r="AF44">
        <v>3</v>
      </c>
      <c r="AG44">
        <v>1</v>
      </c>
      <c r="AH44">
        <f>COUNTA(OfficeForms.Table[[#This Row],[pnuw_walktrails]:[pnuw_restspots]])</f>
        <v>8</v>
      </c>
      <c r="AI44" t="s">
        <v>202</v>
      </c>
      <c r="AJ44" t="s">
        <v>88</v>
      </c>
      <c r="AK44" t="s">
        <v>59</v>
      </c>
      <c r="AL44" t="s">
        <v>59</v>
      </c>
      <c r="AM44" t="s">
        <v>98</v>
      </c>
      <c r="AN44" t="s">
        <v>61</v>
      </c>
      <c r="AP44" t="s">
        <v>59</v>
      </c>
      <c r="AQ44" t="s">
        <v>98</v>
      </c>
      <c r="AR44" t="s">
        <v>174</v>
      </c>
      <c r="AT44" t="s">
        <v>81</v>
      </c>
      <c r="AU44" t="s">
        <v>64</v>
      </c>
      <c r="AV44" t="s">
        <v>65</v>
      </c>
      <c r="AW44" t="s">
        <v>199</v>
      </c>
      <c r="AX44" t="s">
        <v>200</v>
      </c>
      <c r="AY44" s="1" t="s">
        <v>201</v>
      </c>
    </row>
    <row r="45" spans="1:51" hidden="1" x14ac:dyDescent="0.3">
      <c r="A45">
        <v>44</v>
      </c>
      <c r="B45" s="3">
        <v>45851.59171296296</v>
      </c>
      <c r="C45" s="3">
        <v>45851.593090277776</v>
      </c>
      <c r="D45" t="s">
        <v>49</v>
      </c>
      <c r="E45" t="s">
        <v>50</v>
      </c>
      <c r="F45" s="1" t="s">
        <v>203</v>
      </c>
      <c r="G45" t="s">
        <v>132</v>
      </c>
      <c r="H45" s="2">
        <v>45816</v>
      </c>
      <c r="I45" t="s">
        <v>53</v>
      </c>
      <c r="J45" t="s">
        <v>54</v>
      </c>
      <c r="K45" t="s">
        <v>78</v>
      </c>
      <c r="L45" t="s">
        <v>56</v>
      </c>
      <c r="O45">
        <v>1</v>
      </c>
      <c r="Y45">
        <f>COUNTA(OfficeForms.Table[[#This Row],[elements_shelters]:[elements_restspots]])</f>
        <v>1</v>
      </c>
      <c r="Z45">
        <v>6</v>
      </c>
      <c r="AA45">
        <v>7</v>
      </c>
      <c r="AB45">
        <v>8</v>
      </c>
      <c r="AC45">
        <v>1</v>
      </c>
      <c r="AD45">
        <v>3</v>
      </c>
      <c r="AE45">
        <v>5</v>
      </c>
      <c r="AF45">
        <v>2</v>
      </c>
      <c r="AG45">
        <v>4</v>
      </c>
      <c r="AH45">
        <f>COUNTA(OfficeForms.Table[[#This Row],[pnuw_walktrails]:[pnuw_restspots]])</f>
        <v>8</v>
      </c>
      <c r="AI45" t="s">
        <v>204</v>
      </c>
      <c r="AJ45" t="s">
        <v>88</v>
      </c>
      <c r="AK45" t="s">
        <v>59</v>
      </c>
      <c r="AL45" t="s">
        <v>60</v>
      </c>
      <c r="AN45" t="s">
        <v>111</v>
      </c>
      <c r="AP45" t="s">
        <v>60</v>
      </c>
      <c r="AR45" t="s">
        <v>111</v>
      </c>
      <c r="AT45" t="s">
        <v>63</v>
      </c>
      <c r="AU45" t="s">
        <v>73</v>
      </c>
      <c r="AV45" t="s">
        <v>125</v>
      </c>
      <c r="AW45" t="s">
        <v>66</v>
      </c>
      <c r="AX45" t="s">
        <v>67</v>
      </c>
      <c r="AY45" s="1" t="s">
        <v>203</v>
      </c>
    </row>
    <row r="46" spans="1:51" hidden="1" x14ac:dyDescent="0.3">
      <c r="A46">
        <v>45</v>
      </c>
      <c r="B46" s="3">
        <v>45851.593148148146</v>
      </c>
      <c r="C46" s="3">
        <v>45851.597280092596</v>
      </c>
      <c r="D46" t="s">
        <v>49</v>
      </c>
      <c r="E46" t="s">
        <v>50</v>
      </c>
      <c r="F46" s="1" t="s">
        <v>205</v>
      </c>
      <c r="G46" t="s">
        <v>132</v>
      </c>
      <c r="H46" s="2">
        <v>45816</v>
      </c>
      <c r="I46" t="s">
        <v>53</v>
      </c>
      <c r="J46" t="s">
        <v>54</v>
      </c>
      <c r="K46" t="s">
        <v>55</v>
      </c>
      <c r="L46" t="s">
        <v>56</v>
      </c>
      <c r="M46">
        <v>7</v>
      </c>
      <c r="N46">
        <v>1</v>
      </c>
      <c r="O46">
        <v>6</v>
      </c>
      <c r="P46">
        <v>2</v>
      </c>
      <c r="Q46">
        <v>11</v>
      </c>
      <c r="R46">
        <v>4</v>
      </c>
      <c r="S46">
        <v>10</v>
      </c>
      <c r="T46">
        <v>8</v>
      </c>
      <c r="U46">
        <v>9</v>
      </c>
      <c r="V46">
        <v>12</v>
      </c>
      <c r="W46">
        <v>3</v>
      </c>
      <c r="X46">
        <v>5</v>
      </c>
      <c r="Y46">
        <f>COUNTA(OfficeForms.Table[[#This Row],[elements_shelters]:[elements_restspots]])</f>
        <v>12</v>
      </c>
      <c r="Z46">
        <v>1</v>
      </c>
      <c r="AA46">
        <v>2</v>
      </c>
      <c r="AB46">
        <v>5</v>
      </c>
      <c r="AC46">
        <v>7</v>
      </c>
      <c r="AD46">
        <v>4</v>
      </c>
      <c r="AE46">
        <v>8</v>
      </c>
      <c r="AF46">
        <v>3</v>
      </c>
      <c r="AG46">
        <v>6</v>
      </c>
      <c r="AH46">
        <f>COUNTA(OfficeForms.Table[[#This Row],[pnuw_walktrails]:[pnuw_restspots]])</f>
        <v>8</v>
      </c>
      <c r="AI46" t="s">
        <v>117</v>
      </c>
      <c r="AJ46" t="s">
        <v>72</v>
      </c>
      <c r="AK46" t="s">
        <v>59</v>
      </c>
      <c r="AL46" t="s">
        <v>60</v>
      </c>
      <c r="AN46" t="s">
        <v>61</v>
      </c>
      <c r="AP46" t="s">
        <v>59</v>
      </c>
      <c r="AQ46" t="s">
        <v>89</v>
      </c>
      <c r="AR46" t="s">
        <v>61</v>
      </c>
      <c r="AT46" t="s">
        <v>63</v>
      </c>
      <c r="AU46" t="s">
        <v>73</v>
      </c>
      <c r="AV46" t="s">
        <v>125</v>
      </c>
      <c r="AW46" t="s">
        <v>144</v>
      </c>
      <c r="AX46" t="s">
        <v>67</v>
      </c>
      <c r="AY46" s="1" t="s">
        <v>205</v>
      </c>
    </row>
    <row r="47" spans="1:51" hidden="1" x14ac:dyDescent="0.3">
      <c r="A47">
        <v>46</v>
      </c>
      <c r="B47" s="3">
        <v>45851.597291666665</v>
      </c>
      <c r="C47" s="3">
        <v>45851.598993055559</v>
      </c>
      <c r="D47" t="s">
        <v>49</v>
      </c>
      <c r="E47" t="s">
        <v>50</v>
      </c>
      <c r="F47" s="1" t="s">
        <v>206</v>
      </c>
      <c r="G47" t="s">
        <v>132</v>
      </c>
      <c r="H47" s="2">
        <v>45816</v>
      </c>
      <c r="I47" t="s">
        <v>53</v>
      </c>
      <c r="J47" t="s">
        <v>85</v>
      </c>
      <c r="K47" t="s">
        <v>78</v>
      </c>
      <c r="L47" t="s">
        <v>56</v>
      </c>
      <c r="M47">
        <v>5</v>
      </c>
      <c r="N47">
        <v>1</v>
      </c>
      <c r="O47">
        <v>3</v>
      </c>
      <c r="P47">
        <v>10</v>
      </c>
      <c r="Q47">
        <v>12</v>
      </c>
      <c r="R47">
        <v>7</v>
      </c>
      <c r="S47">
        <v>2</v>
      </c>
      <c r="T47">
        <v>8</v>
      </c>
      <c r="U47">
        <v>9</v>
      </c>
      <c r="V47">
        <v>11</v>
      </c>
      <c r="W47">
        <v>4</v>
      </c>
      <c r="X47">
        <v>6</v>
      </c>
      <c r="Y47">
        <f>COUNTA(OfficeForms.Table[[#This Row],[elements_shelters]:[elements_restspots]])</f>
        <v>12</v>
      </c>
      <c r="Z47">
        <v>2</v>
      </c>
      <c r="AA47">
        <v>6</v>
      </c>
      <c r="AB47">
        <v>7</v>
      </c>
      <c r="AC47">
        <v>1</v>
      </c>
      <c r="AD47">
        <v>4</v>
      </c>
      <c r="AE47">
        <v>8</v>
      </c>
      <c r="AF47">
        <v>5</v>
      </c>
      <c r="AG47">
        <v>3</v>
      </c>
      <c r="AH47">
        <f>COUNTA(OfficeForms.Table[[#This Row],[pnuw_walktrails]:[pnuw_restspots]])</f>
        <v>8</v>
      </c>
      <c r="AI47" t="s">
        <v>207</v>
      </c>
      <c r="AJ47" t="s">
        <v>88</v>
      </c>
      <c r="AK47" t="s">
        <v>60</v>
      </c>
      <c r="AT47" t="s">
        <v>63</v>
      </c>
      <c r="AU47" t="s">
        <v>64</v>
      </c>
      <c r="AV47" t="s">
        <v>65</v>
      </c>
      <c r="AW47" t="s">
        <v>95</v>
      </c>
      <c r="AX47" t="s">
        <v>96</v>
      </c>
      <c r="AY47" s="1" t="s">
        <v>206</v>
      </c>
    </row>
    <row r="48" spans="1:51" hidden="1" x14ac:dyDescent="0.3">
      <c r="A48">
        <v>47</v>
      </c>
      <c r="B48" s="3">
        <v>45851.599004629628</v>
      </c>
      <c r="C48" s="3">
        <v>45851.600277777776</v>
      </c>
      <c r="D48" t="s">
        <v>49</v>
      </c>
      <c r="E48" t="s">
        <v>50</v>
      </c>
      <c r="F48" s="1" t="s">
        <v>208</v>
      </c>
      <c r="G48" t="s">
        <v>132</v>
      </c>
      <c r="H48" s="2">
        <v>45816</v>
      </c>
      <c r="I48" t="s">
        <v>53</v>
      </c>
      <c r="J48" t="s">
        <v>85</v>
      </c>
      <c r="K48" t="s">
        <v>78</v>
      </c>
      <c r="L48" t="s">
        <v>56</v>
      </c>
      <c r="M48">
        <v>10</v>
      </c>
      <c r="N48">
        <v>3</v>
      </c>
      <c r="O48">
        <v>9</v>
      </c>
      <c r="P48">
        <v>4</v>
      </c>
      <c r="Q48">
        <v>11</v>
      </c>
      <c r="R48">
        <v>2</v>
      </c>
      <c r="S48">
        <v>1</v>
      </c>
      <c r="T48">
        <v>6</v>
      </c>
      <c r="U48">
        <v>7</v>
      </c>
      <c r="V48">
        <v>12</v>
      </c>
      <c r="W48">
        <v>5</v>
      </c>
      <c r="X48">
        <v>8</v>
      </c>
      <c r="Y48">
        <f>COUNTA(OfficeForms.Table[[#This Row],[elements_shelters]:[elements_restspots]])</f>
        <v>12</v>
      </c>
      <c r="Z48">
        <v>1</v>
      </c>
      <c r="AA48">
        <v>3</v>
      </c>
      <c r="AB48">
        <v>7</v>
      </c>
      <c r="AC48">
        <v>5</v>
      </c>
      <c r="AD48">
        <v>4</v>
      </c>
      <c r="AE48">
        <v>8</v>
      </c>
      <c r="AF48">
        <v>2</v>
      </c>
      <c r="AG48">
        <v>6</v>
      </c>
      <c r="AH48">
        <f>COUNTA(OfficeForms.Table[[#This Row],[pnuw_walktrails]:[pnuw_restspots]])</f>
        <v>8</v>
      </c>
      <c r="AI48" t="s">
        <v>209</v>
      </c>
      <c r="AJ48" t="s">
        <v>72</v>
      </c>
      <c r="AK48" t="s">
        <v>60</v>
      </c>
      <c r="AT48" t="s">
        <v>81</v>
      </c>
      <c r="AU48" t="s">
        <v>64</v>
      </c>
      <c r="AV48" t="s">
        <v>65</v>
      </c>
      <c r="AW48" t="s">
        <v>95</v>
      </c>
      <c r="AX48" t="s">
        <v>96</v>
      </c>
      <c r="AY48" s="1" t="s">
        <v>208</v>
      </c>
    </row>
    <row r="49" spans="1:51" hidden="1" x14ac:dyDescent="0.3">
      <c r="A49">
        <v>48</v>
      </c>
      <c r="B49" s="3">
        <v>45851.600289351853</v>
      </c>
      <c r="C49" s="3">
        <v>45851.602083333331</v>
      </c>
      <c r="D49" t="s">
        <v>49</v>
      </c>
      <c r="E49" t="s">
        <v>50</v>
      </c>
      <c r="F49" s="1" t="s">
        <v>210</v>
      </c>
      <c r="G49" t="s">
        <v>132</v>
      </c>
      <c r="H49" s="2">
        <v>45816</v>
      </c>
      <c r="I49" t="s">
        <v>53</v>
      </c>
      <c r="J49" t="s">
        <v>85</v>
      </c>
      <c r="K49" t="s">
        <v>78</v>
      </c>
      <c r="L49" t="s">
        <v>56</v>
      </c>
      <c r="M49">
        <v>2</v>
      </c>
      <c r="N49">
        <v>1</v>
      </c>
      <c r="O49">
        <v>8</v>
      </c>
      <c r="P49">
        <v>11</v>
      </c>
      <c r="Q49">
        <v>12</v>
      </c>
      <c r="R49">
        <v>7</v>
      </c>
      <c r="S49">
        <v>3</v>
      </c>
      <c r="T49">
        <v>10</v>
      </c>
      <c r="U49">
        <v>4</v>
      </c>
      <c r="V49">
        <v>6</v>
      </c>
      <c r="W49">
        <v>5</v>
      </c>
      <c r="X49">
        <v>9</v>
      </c>
      <c r="Y49">
        <f>COUNTA(OfficeForms.Table[[#This Row],[elements_shelters]:[elements_restspots]])</f>
        <v>12</v>
      </c>
      <c r="Z49">
        <v>1</v>
      </c>
      <c r="AA49">
        <v>4</v>
      </c>
      <c r="AB49">
        <v>6</v>
      </c>
      <c r="AC49">
        <v>8</v>
      </c>
      <c r="AD49">
        <v>3</v>
      </c>
      <c r="AE49">
        <v>7</v>
      </c>
      <c r="AF49">
        <v>5</v>
      </c>
      <c r="AG49">
        <v>8</v>
      </c>
      <c r="AH49">
        <f>COUNTA(OfficeForms.Table[[#This Row],[pnuw_walktrails]:[pnuw_restspots]])</f>
        <v>8</v>
      </c>
      <c r="AI49" t="s">
        <v>211</v>
      </c>
      <c r="AJ49" t="s">
        <v>80</v>
      </c>
      <c r="AK49" t="s">
        <v>60</v>
      </c>
      <c r="AT49" t="s">
        <v>63</v>
      </c>
      <c r="AU49" t="s">
        <v>73</v>
      </c>
      <c r="AV49" t="s">
        <v>125</v>
      </c>
      <c r="AW49" t="s">
        <v>212</v>
      </c>
      <c r="AX49" t="s">
        <v>213</v>
      </c>
      <c r="AY49" s="1" t="s">
        <v>210</v>
      </c>
    </row>
    <row r="50" spans="1:51" x14ac:dyDescent="0.3">
      <c r="A50">
        <v>49</v>
      </c>
      <c r="B50" s="3">
        <v>45851.602106481485</v>
      </c>
      <c r="C50" s="3">
        <v>45851.603773148148</v>
      </c>
      <c r="D50" t="s">
        <v>49</v>
      </c>
      <c r="E50" t="s">
        <v>50</v>
      </c>
      <c r="F50" s="1" t="s">
        <v>214</v>
      </c>
      <c r="G50" t="s">
        <v>132</v>
      </c>
      <c r="H50" s="2">
        <v>45816</v>
      </c>
      <c r="I50" t="s">
        <v>53</v>
      </c>
      <c r="J50" t="s">
        <v>85</v>
      </c>
      <c r="K50" t="s">
        <v>215</v>
      </c>
      <c r="L50" t="s">
        <v>86</v>
      </c>
      <c r="M50">
        <v>10</v>
      </c>
      <c r="N50">
        <v>2</v>
      </c>
      <c r="O50">
        <v>4</v>
      </c>
      <c r="P50">
        <v>9</v>
      </c>
      <c r="Q50">
        <v>12</v>
      </c>
      <c r="R50">
        <v>1</v>
      </c>
      <c r="S50">
        <v>6</v>
      </c>
      <c r="T50">
        <v>7</v>
      </c>
      <c r="U50">
        <v>5</v>
      </c>
      <c r="V50">
        <v>11</v>
      </c>
      <c r="W50">
        <v>3</v>
      </c>
      <c r="X50">
        <v>8</v>
      </c>
      <c r="Y50">
        <f>COUNTA(OfficeForms.Table[[#This Row],[elements_shelters]:[elements_restspots]])</f>
        <v>12</v>
      </c>
      <c r="Z50">
        <v>3</v>
      </c>
      <c r="AA50">
        <v>7</v>
      </c>
      <c r="AB50">
        <v>8</v>
      </c>
      <c r="AC50">
        <v>4</v>
      </c>
      <c r="AD50">
        <v>1</v>
      </c>
      <c r="AE50">
        <v>2</v>
      </c>
      <c r="AF50">
        <v>5</v>
      </c>
      <c r="AG50">
        <v>6</v>
      </c>
      <c r="AH50">
        <f>COUNTA(OfficeForms.Table[[#This Row],[pnuw_walktrails]:[pnuw_restspots]])</f>
        <v>8</v>
      </c>
      <c r="AI50" t="s">
        <v>216</v>
      </c>
      <c r="AJ50" t="s">
        <v>217</v>
      </c>
      <c r="AK50" t="s">
        <v>60</v>
      </c>
      <c r="AT50" t="s">
        <v>81</v>
      </c>
      <c r="AU50" t="s">
        <v>64</v>
      </c>
      <c r="AV50" t="s">
        <v>125</v>
      </c>
      <c r="AW50" t="s">
        <v>212</v>
      </c>
      <c r="AX50" t="s">
        <v>213</v>
      </c>
      <c r="AY50" s="1" t="s">
        <v>214</v>
      </c>
    </row>
    <row r="51" spans="1:51" hidden="1" x14ac:dyDescent="0.3">
      <c r="A51">
        <v>50</v>
      </c>
      <c r="B51" s="3">
        <v>45851.603784722225</v>
      </c>
      <c r="C51" s="3">
        <v>45851.605243055557</v>
      </c>
      <c r="D51" t="s">
        <v>49</v>
      </c>
      <c r="E51" t="s">
        <v>50</v>
      </c>
      <c r="F51" s="1" t="s">
        <v>218</v>
      </c>
      <c r="G51" t="s">
        <v>132</v>
      </c>
      <c r="H51" s="2">
        <v>45816</v>
      </c>
      <c r="I51" t="s">
        <v>53</v>
      </c>
      <c r="J51" t="s">
        <v>85</v>
      </c>
      <c r="K51" t="s">
        <v>55</v>
      </c>
      <c r="L51" t="s">
        <v>56</v>
      </c>
      <c r="M51">
        <v>6</v>
      </c>
      <c r="N51">
        <v>1</v>
      </c>
      <c r="O51">
        <v>7</v>
      </c>
      <c r="P51">
        <v>11</v>
      </c>
      <c r="Q51">
        <v>12</v>
      </c>
      <c r="R51">
        <v>2</v>
      </c>
      <c r="S51">
        <v>5</v>
      </c>
      <c r="T51">
        <v>8</v>
      </c>
      <c r="U51">
        <v>9</v>
      </c>
      <c r="V51">
        <v>10</v>
      </c>
      <c r="W51">
        <v>4</v>
      </c>
      <c r="X51">
        <v>3</v>
      </c>
      <c r="Y51">
        <f>COUNTA(OfficeForms.Table[[#This Row],[elements_shelters]:[elements_restspots]])</f>
        <v>12</v>
      </c>
      <c r="Z51">
        <v>2</v>
      </c>
      <c r="AA51">
        <v>1</v>
      </c>
      <c r="AB51">
        <v>8</v>
      </c>
      <c r="AC51">
        <v>3</v>
      </c>
      <c r="AD51">
        <v>4</v>
      </c>
      <c r="AE51">
        <v>5</v>
      </c>
      <c r="AF51">
        <v>6</v>
      </c>
      <c r="AG51">
        <v>7</v>
      </c>
      <c r="AH51">
        <f>COUNTA(OfficeForms.Table[[#This Row],[pnuw_walktrails]:[pnuw_restspots]])</f>
        <v>8</v>
      </c>
      <c r="AI51" t="s">
        <v>117</v>
      </c>
      <c r="AJ51" t="s">
        <v>72</v>
      </c>
      <c r="AK51" t="s">
        <v>59</v>
      </c>
      <c r="AL51" t="s">
        <v>60</v>
      </c>
      <c r="AN51" t="s">
        <v>61</v>
      </c>
      <c r="AP51" t="s">
        <v>59</v>
      </c>
      <c r="AQ51" t="s">
        <v>219</v>
      </c>
      <c r="AR51" t="s">
        <v>61</v>
      </c>
      <c r="AT51" t="s">
        <v>81</v>
      </c>
      <c r="AU51" t="s">
        <v>73</v>
      </c>
      <c r="AV51" t="s">
        <v>125</v>
      </c>
      <c r="AW51" t="s">
        <v>212</v>
      </c>
      <c r="AX51" t="s">
        <v>213</v>
      </c>
      <c r="AY51" s="1" t="s">
        <v>218</v>
      </c>
    </row>
    <row r="52" spans="1:51" hidden="1" x14ac:dyDescent="0.3">
      <c r="A52">
        <v>51</v>
      </c>
      <c r="B52" s="3">
        <v>45851.605266203704</v>
      </c>
      <c r="C52" s="3">
        <v>45851.606736111113</v>
      </c>
      <c r="D52" t="s">
        <v>49</v>
      </c>
      <c r="E52" t="s">
        <v>50</v>
      </c>
      <c r="F52" s="1" t="s">
        <v>220</v>
      </c>
      <c r="G52" t="s">
        <v>132</v>
      </c>
      <c r="H52" s="2">
        <v>45816</v>
      </c>
      <c r="I52" t="s">
        <v>53</v>
      </c>
      <c r="J52" t="s">
        <v>85</v>
      </c>
      <c r="K52" t="s">
        <v>55</v>
      </c>
      <c r="L52" t="s">
        <v>56</v>
      </c>
      <c r="M52">
        <v>11</v>
      </c>
      <c r="N52">
        <v>3</v>
      </c>
      <c r="O52">
        <v>4</v>
      </c>
      <c r="P52">
        <v>2</v>
      </c>
      <c r="Q52">
        <v>12</v>
      </c>
      <c r="R52">
        <v>1</v>
      </c>
      <c r="S52">
        <v>8</v>
      </c>
      <c r="T52">
        <v>7</v>
      </c>
      <c r="U52">
        <v>9</v>
      </c>
      <c r="V52">
        <v>10</v>
      </c>
      <c r="W52">
        <v>5</v>
      </c>
      <c r="X52">
        <v>6</v>
      </c>
      <c r="Y52">
        <f>COUNTA(OfficeForms.Table[[#This Row],[elements_shelters]:[elements_restspots]])</f>
        <v>12</v>
      </c>
      <c r="Z52">
        <v>3</v>
      </c>
      <c r="AA52">
        <v>4</v>
      </c>
      <c r="AB52">
        <v>1</v>
      </c>
      <c r="AC52">
        <v>2</v>
      </c>
      <c r="AD52">
        <v>6</v>
      </c>
      <c r="AE52">
        <v>8</v>
      </c>
      <c r="AF52">
        <v>7</v>
      </c>
      <c r="AG52">
        <v>5</v>
      </c>
      <c r="AH52">
        <f>COUNTA(OfficeForms.Table[[#This Row],[pnuw_walktrails]:[pnuw_restspots]])</f>
        <v>8</v>
      </c>
      <c r="AI52" t="s">
        <v>221</v>
      </c>
      <c r="AJ52" t="s">
        <v>88</v>
      </c>
      <c r="AK52" t="s">
        <v>59</v>
      </c>
      <c r="AL52" t="s">
        <v>60</v>
      </c>
      <c r="AN52" t="s">
        <v>61</v>
      </c>
      <c r="AP52" t="s">
        <v>59</v>
      </c>
      <c r="AQ52" t="s">
        <v>189</v>
      </c>
      <c r="AR52" t="s">
        <v>61</v>
      </c>
      <c r="AT52" t="s">
        <v>81</v>
      </c>
      <c r="AU52" t="s">
        <v>73</v>
      </c>
      <c r="AV52" t="s">
        <v>125</v>
      </c>
      <c r="AW52" t="s">
        <v>95</v>
      </c>
      <c r="AX52" t="s">
        <v>96</v>
      </c>
      <c r="AY52" s="1" t="s">
        <v>220</v>
      </c>
    </row>
    <row r="53" spans="1:51" hidden="1" x14ac:dyDescent="0.3">
      <c r="A53">
        <v>52</v>
      </c>
      <c r="B53" s="3">
        <v>45851.606747685182</v>
      </c>
      <c r="C53" s="3">
        <v>45851.608194444445</v>
      </c>
      <c r="D53" t="s">
        <v>49</v>
      </c>
      <c r="E53" t="s">
        <v>50</v>
      </c>
      <c r="F53" s="1" t="s">
        <v>222</v>
      </c>
      <c r="G53" t="s">
        <v>132</v>
      </c>
      <c r="H53" s="2">
        <v>45816</v>
      </c>
      <c r="I53" t="s">
        <v>53</v>
      </c>
      <c r="J53" t="s">
        <v>85</v>
      </c>
      <c r="K53" t="s">
        <v>215</v>
      </c>
      <c r="L53" t="s">
        <v>56</v>
      </c>
      <c r="M53">
        <v>12</v>
      </c>
      <c r="N53">
        <v>1</v>
      </c>
      <c r="O53">
        <v>3</v>
      </c>
      <c r="P53">
        <v>2</v>
      </c>
      <c r="Q53">
        <v>11</v>
      </c>
      <c r="R53">
        <v>9</v>
      </c>
      <c r="S53">
        <v>6</v>
      </c>
      <c r="T53">
        <v>7</v>
      </c>
      <c r="U53">
        <v>8</v>
      </c>
      <c r="V53">
        <v>10</v>
      </c>
      <c r="W53">
        <v>4</v>
      </c>
      <c r="X53">
        <v>5</v>
      </c>
      <c r="Y53">
        <f>COUNTA(OfficeForms.Table[[#This Row],[elements_shelters]:[elements_restspots]])</f>
        <v>12</v>
      </c>
      <c r="Z53">
        <v>2</v>
      </c>
      <c r="AA53">
        <v>3</v>
      </c>
      <c r="AB53">
        <v>1</v>
      </c>
      <c r="AC53">
        <v>4</v>
      </c>
      <c r="AD53">
        <v>8</v>
      </c>
      <c r="AE53">
        <v>6</v>
      </c>
      <c r="AF53">
        <v>5</v>
      </c>
      <c r="AG53">
        <v>7</v>
      </c>
      <c r="AH53">
        <f>COUNTA(OfficeForms.Table[[#This Row],[pnuw_walktrails]:[pnuw_restspots]])</f>
        <v>8</v>
      </c>
      <c r="AI53" t="s">
        <v>117</v>
      </c>
      <c r="AJ53" t="s">
        <v>88</v>
      </c>
      <c r="AK53" t="s">
        <v>59</v>
      </c>
      <c r="AL53" t="s">
        <v>60</v>
      </c>
      <c r="AN53" t="s">
        <v>61</v>
      </c>
      <c r="AP53" t="s">
        <v>59</v>
      </c>
      <c r="AQ53" t="s">
        <v>189</v>
      </c>
      <c r="AR53" t="s">
        <v>61</v>
      </c>
      <c r="AT53" t="s">
        <v>63</v>
      </c>
      <c r="AU53" t="s">
        <v>73</v>
      </c>
      <c r="AV53" t="s">
        <v>125</v>
      </c>
      <c r="AW53" t="s">
        <v>223</v>
      </c>
      <c r="AX53" t="s">
        <v>224</v>
      </c>
      <c r="AY53" s="1" t="s">
        <v>222</v>
      </c>
    </row>
    <row r="54" spans="1:51" hidden="1" x14ac:dyDescent="0.3">
      <c r="A54">
        <v>53</v>
      </c>
      <c r="B54" s="3">
        <v>45851.609340277777</v>
      </c>
      <c r="C54" s="3">
        <v>45851.610578703701</v>
      </c>
      <c r="D54" t="s">
        <v>49</v>
      </c>
      <c r="E54" t="s">
        <v>50</v>
      </c>
      <c r="F54" s="1" t="s">
        <v>225</v>
      </c>
      <c r="G54" t="s">
        <v>132</v>
      </c>
      <c r="H54" s="2">
        <v>45816</v>
      </c>
      <c r="I54" t="s">
        <v>53</v>
      </c>
      <c r="J54" t="s">
        <v>54</v>
      </c>
      <c r="K54" t="s">
        <v>103</v>
      </c>
      <c r="L54" t="s">
        <v>56</v>
      </c>
      <c r="M54">
        <v>8</v>
      </c>
      <c r="N54">
        <v>5</v>
      </c>
      <c r="O54">
        <v>7</v>
      </c>
      <c r="P54">
        <v>6</v>
      </c>
      <c r="Q54">
        <v>12</v>
      </c>
      <c r="R54">
        <v>9</v>
      </c>
      <c r="S54">
        <v>3</v>
      </c>
      <c r="T54">
        <v>1</v>
      </c>
      <c r="U54">
        <v>2</v>
      </c>
      <c r="V54">
        <v>10</v>
      </c>
      <c r="W54">
        <v>11</v>
      </c>
      <c r="X54">
        <v>4</v>
      </c>
      <c r="Y54">
        <f>COUNTA(OfficeForms.Table[[#This Row],[elements_shelters]:[elements_restspots]])</f>
        <v>12</v>
      </c>
      <c r="Z54">
        <v>1</v>
      </c>
      <c r="AA54">
        <v>4</v>
      </c>
      <c r="AB54">
        <v>5</v>
      </c>
      <c r="AC54">
        <v>3</v>
      </c>
      <c r="AD54">
        <v>6</v>
      </c>
      <c r="AE54">
        <v>7</v>
      </c>
      <c r="AF54">
        <v>8</v>
      </c>
      <c r="AG54">
        <v>2</v>
      </c>
      <c r="AH54">
        <f>COUNTA(OfficeForms.Table[[#This Row],[pnuw_walktrails]:[pnuw_restspots]])</f>
        <v>8</v>
      </c>
      <c r="AI54" t="s">
        <v>226</v>
      </c>
      <c r="AJ54" t="s">
        <v>80</v>
      </c>
      <c r="AK54" t="s">
        <v>60</v>
      </c>
      <c r="AT54" t="s">
        <v>81</v>
      </c>
      <c r="AU54" t="s">
        <v>73</v>
      </c>
      <c r="AV54" t="s">
        <v>65</v>
      </c>
      <c r="AW54" t="s">
        <v>227</v>
      </c>
      <c r="AX54" t="s">
        <v>228</v>
      </c>
      <c r="AY54" s="1" t="s">
        <v>225</v>
      </c>
    </row>
    <row r="55" spans="1:51" hidden="1" x14ac:dyDescent="0.3">
      <c r="A55">
        <v>54</v>
      </c>
      <c r="B55" s="3">
        <v>45851.610601851855</v>
      </c>
      <c r="C55" s="3">
        <v>45851.612083333333</v>
      </c>
      <c r="D55" t="s">
        <v>49</v>
      </c>
      <c r="E55" t="s">
        <v>50</v>
      </c>
      <c r="F55" s="1" t="s">
        <v>229</v>
      </c>
      <c r="G55" t="s">
        <v>132</v>
      </c>
      <c r="H55" s="2">
        <v>45816</v>
      </c>
      <c r="I55" t="s">
        <v>53</v>
      </c>
      <c r="J55" t="s">
        <v>54</v>
      </c>
      <c r="K55" t="s">
        <v>55</v>
      </c>
      <c r="L55" t="s">
        <v>56</v>
      </c>
      <c r="M55">
        <v>9</v>
      </c>
      <c r="N55">
        <v>1</v>
      </c>
      <c r="O55">
        <v>6</v>
      </c>
      <c r="P55">
        <v>2</v>
      </c>
      <c r="Q55">
        <v>12</v>
      </c>
      <c r="R55">
        <v>5</v>
      </c>
      <c r="S55">
        <v>7</v>
      </c>
      <c r="T55">
        <v>8</v>
      </c>
      <c r="U55">
        <v>10</v>
      </c>
      <c r="V55">
        <v>11</v>
      </c>
      <c r="W55">
        <v>3</v>
      </c>
      <c r="X55">
        <v>4</v>
      </c>
      <c r="Y55">
        <f>COUNTA(OfficeForms.Table[[#This Row],[elements_shelters]:[elements_restspots]])</f>
        <v>12</v>
      </c>
      <c r="Z55">
        <v>2</v>
      </c>
      <c r="AA55">
        <v>1</v>
      </c>
      <c r="AB55">
        <v>3</v>
      </c>
      <c r="AC55">
        <v>4</v>
      </c>
      <c r="AD55">
        <v>6</v>
      </c>
      <c r="AE55">
        <v>7</v>
      </c>
      <c r="AF55">
        <v>8</v>
      </c>
      <c r="AG55">
        <v>5</v>
      </c>
      <c r="AH55">
        <f>COUNTA(OfficeForms.Table[[#This Row],[pnuw_walktrails]:[pnuw_restspots]])</f>
        <v>8</v>
      </c>
      <c r="AI55" t="s">
        <v>230</v>
      </c>
      <c r="AJ55" t="s">
        <v>88</v>
      </c>
      <c r="AK55" t="s">
        <v>60</v>
      </c>
      <c r="AT55" t="s">
        <v>63</v>
      </c>
      <c r="AU55" t="s">
        <v>73</v>
      </c>
      <c r="AV55" t="s">
        <v>65</v>
      </c>
      <c r="AW55" t="s">
        <v>83</v>
      </c>
      <c r="AX55" t="s">
        <v>67</v>
      </c>
      <c r="AY55" s="1" t="s">
        <v>229</v>
      </c>
    </row>
    <row r="56" spans="1:51" hidden="1" x14ac:dyDescent="0.3">
      <c r="A56">
        <v>55</v>
      </c>
      <c r="B56" s="3">
        <v>45884.427604166704</v>
      </c>
      <c r="C56" s="3">
        <v>45884.433194444398</v>
      </c>
      <c r="D56" s="4" t="s">
        <v>49</v>
      </c>
      <c r="E56" s="4" t="s">
        <v>50</v>
      </c>
      <c r="F56" s="5" t="s">
        <v>231</v>
      </c>
      <c r="G56" s="4" t="s">
        <v>132</v>
      </c>
      <c r="H56" s="2">
        <v>45851</v>
      </c>
      <c r="I56" s="4" t="s">
        <v>53</v>
      </c>
      <c r="J56" s="4" t="s">
        <v>85</v>
      </c>
      <c r="K56" s="4" t="s">
        <v>78</v>
      </c>
      <c r="L56" s="4" t="s">
        <v>56</v>
      </c>
      <c r="M56">
        <v>7</v>
      </c>
      <c r="N56">
        <v>1</v>
      </c>
      <c r="O56">
        <v>2</v>
      </c>
      <c r="P56">
        <v>6</v>
      </c>
      <c r="Q56">
        <v>8</v>
      </c>
      <c r="R56">
        <v>3</v>
      </c>
      <c r="S56">
        <v>9</v>
      </c>
      <c r="T56">
        <v>11</v>
      </c>
      <c r="U56">
        <v>10</v>
      </c>
      <c r="V56">
        <v>12</v>
      </c>
      <c r="W56">
        <v>5</v>
      </c>
      <c r="X56">
        <v>4</v>
      </c>
      <c r="Y56">
        <f>COUNTA(OfficeForms.Table[[#This Row],[elements_shelters]:[elements_restspots]])</f>
        <v>12</v>
      </c>
      <c r="Z56">
        <v>1</v>
      </c>
      <c r="AA56">
        <v>2</v>
      </c>
      <c r="AB56">
        <v>6</v>
      </c>
      <c r="AC56">
        <v>3</v>
      </c>
      <c r="AD56">
        <v>7</v>
      </c>
      <c r="AE56">
        <v>8</v>
      </c>
      <c r="AF56">
        <v>5</v>
      </c>
      <c r="AG56">
        <v>4</v>
      </c>
      <c r="AH56">
        <f>COUNTA(OfficeForms.Table[[#This Row],[pnuw_walktrails]:[pnuw_restspots]])</f>
        <v>8</v>
      </c>
      <c r="AI56" s="4" t="s">
        <v>117</v>
      </c>
      <c r="AJ56" s="4" t="s">
        <v>88</v>
      </c>
      <c r="AK56" s="4" t="s">
        <v>59</v>
      </c>
      <c r="AL56" s="4" t="s">
        <v>60</v>
      </c>
      <c r="AM56" s="4"/>
      <c r="AN56" s="4" t="s">
        <v>61</v>
      </c>
      <c r="AO56" s="4"/>
      <c r="AP56" s="4" t="s">
        <v>59</v>
      </c>
      <c r="AQ56" s="4" t="s">
        <v>232</v>
      </c>
      <c r="AR56" s="4" t="s">
        <v>174</v>
      </c>
      <c r="AS56" s="4" t="s">
        <v>233</v>
      </c>
      <c r="AT56" s="4" t="s">
        <v>63</v>
      </c>
      <c r="AU56" s="4" t="s">
        <v>73</v>
      </c>
      <c r="AV56" s="4" t="s">
        <v>65</v>
      </c>
      <c r="AW56" s="4" t="s">
        <v>234</v>
      </c>
      <c r="AX56" s="4" t="s">
        <v>234</v>
      </c>
      <c r="AY56" s="5"/>
    </row>
    <row r="57" spans="1:51" x14ac:dyDescent="0.3">
      <c r="A57">
        <v>56</v>
      </c>
      <c r="B57" s="3">
        <v>45884.433321759301</v>
      </c>
      <c r="C57" s="3">
        <v>45884.4358333333</v>
      </c>
      <c r="D57" s="4" t="s">
        <v>49</v>
      </c>
      <c r="E57" s="4" t="s">
        <v>50</v>
      </c>
      <c r="F57" s="5" t="s">
        <v>235</v>
      </c>
      <c r="G57" s="4" t="s">
        <v>132</v>
      </c>
      <c r="H57" s="2">
        <v>45851</v>
      </c>
      <c r="I57" s="4" t="s">
        <v>53</v>
      </c>
      <c r="J57" s="4" t="s">
        <v>69</v>
      </c>
      <c r="K57" s="4" t="s">
        <v>78</v>
      </c>
      <c r="L57" s="4" t="s">
        <v>56</v>
      </c>
      <c r="M57">
        <v>10</v>
      </c>
      <c r="N57">
        <v>1</v>
      </c>
      <c r="O57">
        <v>2</v>
      </c>
      <c r="P57">
        <v>7</v>
      </c>
      <c r="Q57">
        <v>11</v>
      </c>
      <c r="R57">
        <v>3</v>
      </c>
      <c r="S57">
        <v>6</v>
      </c>
      <c r="T57">
        <v>9</v>
      </c>
      <c r="U57">
        <v>8</v>
      </c>
      <c r="V57">
        <v>12</v>
      </c>
      <c r="W57">
        <v>4</v>
      </c>
      <c r="X57">
        <v>5</v>
      </c>
      <c r="Y57">
        <f>COUNTA(OfficeForms.Table[[#This Row],[elements_shelters]:[elements_restspots]])</f>
        <v>12</v>
      </c>
      <c r="Z57">
        <v>1</v>
      </c>
      <c r="AA57">
        <v>7</v>
      </c>
      <c r="AB57">
        <v>6</v>
      </c>
      <c r="AC57">
        <v>2</v>
      </c>
      <c r="AD57">
        <v>5</v>
      </c>
      <c r="AE57">
        <v>8</v>
      </c>
      <c r="AF57">
        <v>4</v>
      </c>
      <c r="AG57">
        <v>3</v>
      </c>
      <c r="AH57">
        <f>COUNTA(OfficeForms.Table[[#This Row],[pnuw_walktrails]:[pnuw_restspots]])</f>
        <v>8</v>
      </c>
      <c r="AI57" s="4" t="s">
        <v>117</v>
      </c>
      <c r="AJ57" s="4" t="s">
        <v>236</v>
      </c>
      <c r="AK57" s="4" t="s">
        <v>59</v>
      </c>
      <c r="AL57" s="4" t="s">
        <v>60</v>
      </c>
      <c r="AM57" s="4"/>
      <c r="AN57" s="4" t="s">
        <v>61</v>
      </c>
      <c r="AO57" s="4"/>
      <c r="AP57" s="4" t="s">
        <v>59</v>
      </c>
      <c r="AQ57" s="4" t="s">
        <v>237</v>
      </c>
      <c r="AR57" s="4" t="s">
        <v>174</v>
      </c>
      <c r="AS57" s="4" t="s">
        <v>233</v>
      </c>
      <c r="AT57" s="4" t="s">
        <v>81</v>
      </c>
      <c r="AU57" s="4" t="s">
        <v>73</v>
      </c>
      <c r="AV57" s="4" t="s">
        <v>65</v>
      </c>
      <c r="AW57" s="4" t="s">
        <v>234</v>
      </c>
      <c r="AX57" s="4" t="s">
        <v>234</v>
      </c>
      <c r="AY57" s="5"/>
    </row>
    <row r="58" spans="1:51" hidden="1" x14ac:dyDescent="0.3">
      <c r="A58">
        <v>57</v>
      </c>
      <c r="B58" s="3">
        <v>45884.435856481497</v>
      </c>
      <c r="C58" s="3">
        <v>45884.4382638889</v>
      </c>
      <c r="D58" s="4" t="s">
        <v>49</v>
      </c>
      <c r="E58" s="4" t="s">
        <v>50</v>
      </c>
      <c r="F58" s="5" t="s">
        <v>238</v>
      </c>
      <c r="G58" s="4" t="s">
        <v>132</v>
      </c>
      <c r="H58" s="2">
        <v>45848</v>
      </c>
      <c r="I58" s="4" t="s">
        <v>53</v>
      </c>
      <c r="J58" s="4" t="s">
        <v>85</v>
      </c>
      <c r="K58" s="4" t="s">
        <v>78</v>
      </c>
      <c r="L58" s="4" t="s">
        <v>86</v>
      </c>
      <c r="M58">
        <v>12</v>
      </c>
      <c r="N58">
        <v>4</v>
      </c>
      <c r="O58">
        <v>5</v>
      </c>
      <c r="P58">
        <v>10</v>
      </c>
      <c r="Q58">
        <v>4</v>
      </c>
      <c r="R58">
        <v>6</v>
      </c>
      <c r="S58">
        <v>2</v>
      </c>
      <c r="T58">
        <v>8</v>
      </c>
      <c r="U58">
        <v>7</v>
      </c>
      <c r="V58">
        <v>9</v>
      </c>
      <c r="W58">
        <v>1</v>
      </c>
      <c r="X58">
        <v>3</v>
      </c>
      <c r="Y58">
        <f>COUNTA(OfficeForms.Table[[#This Row],[elements_shelters]:[elements_restspots]])</f>
        <v>12</v>
      </c>
      <c r="Z58">
        <v>2</v>
      </c>
      <c r="AA58">
        <v>7</v>
      </c>
      <c r="AB58">
        <v>6</v>
      </c>
      <c r="AC58">
        <v>5</v>
      </c>
      <c r="AD58">
        <v>4</v>
      </c>
      <c r="AE58">
        <v>8</v>
      </c>
      <c r="AF58">
        <v>3</v>
      </c>
      <c r="AG58">
        <v>1</v>
      </c>
      <c r="AH58">
        <f>COUNTA(OfficeForms.Table[[#This Row],[pnuw_walktrails]:[pnuw_restspots]])</f>
        <v>8</v>
      </c>
      <c r="AI58" s="4" t="s">
        <v>239</v>
      </c>
      <c r="AJ58" s="4" t="s">
        <v>88</v>
      </c>
      <c r="AK58" s="4" t="s">
        <v>60</v>
      </c>
      <c r="AL58" s="4"/>
      <c r="AM58" s="4"/>
      <c r="AN58" s="4"/>
      <c r="AO58" s="4"/>
      <c r="AP58" s="4"/>
      <c r="AQ58" s="4"/>
      <c r="AR58" s="4"/>
      <c r="AS58" s="4"/>
      <c r="AT58" s="4" t="s">
        <v>63</v>
      </c>
      <c r="AU58" s="4" t="s">
        <v>64</v>
      </c>
      <c r="AV58" s="4" t="s">
        <v>82</v>
      </c>
      <c r="AW58" s="4" t="s">
        <v>240</v>
      </c>
      <c r="AX58" s="4" t="s">
        <v>240</v>
      </c>
      <c r="AY58" s="5"/>
    </row>
    <row r="59" spans="1:51" hidden="1" x14ac:dyDescent="0.3">
      <c r="A59">
        <v>58</v>
      </c>
      <c r="B59" s="3">
        <v>45884.4384027778</v>
      </c>
      <c r="C59" s="3">
        <v>45884.440486111103</v>
      </c>
      <c r="D59" s="4" t="s">
        <v>49</v>
      </c>
      <c r="E59" s="4" t="s">
        <v>50</v>
      </c>
      <c r="F59" s="5" t="s">
        <v>241</v>
      </c>
      <c r="G59" s="4" t="s">
        <v>132</v>
      </c>
      <c r="H59" s="2">
        <v>45848</v>
      </c>
      <c r="I59" s="4" t="s">
        <v>53</v>
      </c>
      <c r="J59" s="4" t="s">
        <v>85</v>
      </c>
      <c r="K59" s="4" t="s">
        <v>78</v>
      </c>
      <c r="L59" s="4" t="s">
        <v>56</v>
      </c>
      <c r="M59">
        <v>12</v>
      </c>
      <c r="N59">
        <v>8</v>
      </c>
      <c r="O59">
        <v>1</v>
      </c>
      <c r="P59">
        <v>9</v>
      </c>
      <c r="Q59">
        <v>10</v>
      </c>
      <c r="R59">
        <v>2</v>
      </c>
      <c r="S59">
        <v>3</v>
      </c>
      <c r="T59">
        <v>7</v>
      </c>
      <c r="U59">
        <v>5</v>
      </c>
      <c r="V59">
        <v>11</v>
      </c>
      <c r="W59">
        <v>4</v>
      </c>
      <c r="X59">
        <v>6</v>
      </c>
      <c r="Y59">
        <f>COUNTA(OfficeForms.Table[[#This Row],[elements_shelters]:[elements_restspots]])</f>
        <v>12</v>
      </c>
      <c r="Z59">
        <v>6</v>
      </c>
      <c r="AA59">
        <v>3</v>
      </c>
      <c r="AB59">
        <v>7</v>
      </c>
      <c r="AC59">
        <v>5</v>
      </c>
      <c r="AD59">
        <v>1</v>
      </c>
      <c r="AE59">
        <v>4</v>
      </c>
      <c r="AF59">
        <v>2</v>
      </c>
      <c r="AG59">
        <v>8</v>
      </c>
      <c r="AH59">
        <f>COUNTA(OfficeForms.Table[[#This Row],[pnuw_walktrails]:[pnuw_restspots]])</f>
        <v>8</v>
      </c>
      <c r="AI59" s="4" t="s">
        <v>79</v>
      </c>
      <c r="AJ59" s="4" t="s">
        <v>88</v>
      </c>
      <c r="AK59" s="4" t="s">
        <v>60</v>
      </c>
      <c r="AL59" s="4"/>
      <c r="AM59" s="4"/>
      <c r="AN59" s="4"/>
      <c r="AO59" s="4"/>
      <c r="AP59" s="4"/>
      <c r="AQ59" s="4"/>
      <c r="AR59" s="4"/>
      <c r="AS59" s="4"/>
      <c r="AT59" s="4" t="s">
        <v>81</v>
      </c>
      <c r="AU59" s="4" t="s">
        <v>64</v>
      </c>
      <c r="AV59" s="4" t="s">
        <v>82</v>
      </c>
      <c r="AW59" s="4" t="s">
        <v>242</v>
      </c>
      <c r="AX59" s="4" t="s">
        <v>243</v>
      </c>
      <c r="AY59" s="5"/>
    </row>
    <row r="60" spans="1:51" hidden="1" x14ac:dyDescent="0.3">
      <c r="A60">
        <v>59</v>
      </c>
      <c r="B60" s="3">
        <v>45884.440509259301</v>
      </c>
      <c r="C60" s="3">
        <v>45884.444259259297</v>
      </c>
      <c r="D60" s="4" t="s">
        <v>49</v>
      </c>
      <c r="E60" s="4" t="s">
        <v>50</v>
      </c>
      <c r="F60" s="5" t="s">
        <v>244</v>
      </c>
      <c r="G60" s="4" t="s">
        <v>132</v>
      </c>
      <c r="H60" s="2">
        <v>45848</v>
      </c>
      <c r="I60" s="4" t="s">
        <v>53</v>
      </c>
      <c r="J60" s="4" t="s">
        <v>85</v>
      </c>
      <c r="K60" s="4" t="s">
        <v>78</v>
      </c>
      <c r="L60" s="4" t="s">
        <v>56</v>
      </c>
      <c r="M60">
        <v>11</v>
      </c>
      <c r="N60">
        <v>4</v>
      </c>
      <c r="O60">
        <v>5</v>
      </c>
      <c r="P60">
        <v>6</v>
      </c>
      <c r="Q60">
        <v>12</v>
      </c>
      <c r="R60">
        <v>7</v>
      </c>
      <c r="S60">
        <v>2</v>
      </c>
      <c r="T60">
        <v>8</v>
      </c>
      <c r="U60">
        <v>9</v>
      </c>
      <c r="V60">
        <v>10</v>
      </c>
      <c r="W60">
        <v>1</v>
      </c>
      <c r="X60">
        <v>3</v>
      </c>
      <c r="Y60">
        <f>COUNTA(OfficeForms.Table[[#This Row],[elements_shelters]:[elements_restspots]])</f>
        <v>12</v>
      </c>
      <c r="Z60">
        <v>1</v>
      </c>
      <c r="AA60">
        <v>2</v>
      </c>
      <c r="AB60">
        <v>7</v>
      </c>
      <c r="AC60">
        <v>5</v>
      </c>
      <c r="AD60">
        <v>3</v>
      </c>
      <c r="AE60">
        <v>6</v>
      </c>
      <c r="AF60">
        <v>8</v>
      </c>
      <c r="AG60">
        <v>4</v>
      </c>
      <c r="AH60">
        <f>COUNTA(OfficeForms.Table[[#This Row],[pnuw_walktrails]:[pnuw_restspots]])</f>
        <v>8</v>
      </c>
      <c r="AI60" s="4" t="s">
        <v>245</v>
      </c>
      <c r="AJ60" s="4" t="s">
        <v>72</v>
      </c>
      <c r="AK60" s="4" t="s">
        <v>60</v>
      </c>
      <c r="AL60" s="4"/>
      <c r="AM60" s="4"/>
      <c r="AN60" s="4"/>
      <c r="AO60" s="4"/>
      <c r="AP60" s="4"/>
      <c r="AQ60" s="4"/>
      <c r="AR60" s="4"/>
      <c r="AS60" s="4"/>
      <c r="AT60" s="4" t="s">
        <v>63</v>
      </c>
      <c r="AU60" s="4" t="s">
        <v>73</v>
      </c>
      <c r="AV60" s="4" t="s">
        <v>82</v>
      </c>
      <c r="AW60" s="4" t="s">
        <v>246</v>
      </c>
      <c r="AX60" s="4" t="s">
        <v>247</v>
      </c>
      <c r="AY60" s="5"/>
    </row>
    <row r="61" spans="1:51" hidden="1" x14ac:dyDescent="0.3">
      <c r="A61">
        <v>60</v>
      </c>
      <c r="B61" s="3">
        <v>45884.444374999999</v>
      </c>
      <c r="C61" s="3">
        <v>45884.445613425902</v>
      </c>
      <c r="D61" s="4" t="s">
        <v>49</v>
      </c>
      <c r="E61" s="4" t="s">
        <v>50</v>
      </c>
      <c r="F61" s="5" t="s">
        <v>248</v>
      </c>
      <c r="G61" s="4" t="s">
        <v>132</v>
      </c>
      <c r="H61" s="2">
        <v>45848</v>
      </c>
      <c r="I61" s="4" t="s">
        <v>53</v>
      </c>
      <c r="J61" s="4" t="s">
        <v>85</v>
      </c>
      <c r="K61" s="4" t="s">
        <v>78</v>
      </c>
      <c r="L61" s="4" t="s">
        <v>86</v>
      </c>
      <c r="Y61">
        <f>COUNTA(OfficeForms.Table[[#This Row],[elements_shelters]:[elements_restspots]])</f>
        <v>0</v>
      </c>
      <c r="AH61">
        <f>COUNTA(OfficeForms.Table[[#This Row],[pnuw_walktrails]:[pnuw_restspots]])</f>
        <v>0</v>
      </c>
      <c r="AI61" s="4" t="s">
        <v>249</v>
      </c>
      <c r="AJ61" s="4" t="s">
        <v>88</v>
      </c>
      <c r="AK61" s="4" t="s">
        <v>60</v>
      </c>
      <c r="AL61" s="4"/>
      <c r="AM61" s="4"/>
      <c r="AN61" s="4"/>
      <c r="AO61" s="4"/>
      <c r="AP61" s="4"/>
      <c r="AQ61" s="4"/>
      <c r="AR61" s="4"/>
      <c r="AS61" s="4"/>
      <c r="AT61" s="4" t="s">
        <v>81</v>
      </c>
      <c r="AU61" s="4" t="s">
        <v>73</v>
      </c>
      <c r="AV61" s="4" t="s">
        <v>82</v>
      </c>
      <c r="AW61" s="4" t="s">
        <v>246</v>
      </c>
      <c r="AX61" s="4" t="s">
        <v>247</v>
      </c>
      <c r="AY61" s="5"/>
    </row>
    <row r="62" spans="1:51" hidden="1" x14ac:dyDescent="0.3">
      <c r="A62">
        <v>61</v>
      </c>
      <c r="B62" s="3">
        <v>45884.445636574099</v>
      </c>
      <c r="C62" s="3">
        <v>45884.447673611103</v>
      </c>
      <c r="D62" s="4" t="s">
        <v>49</v>
      </c>
      <c r="E62" s="4" t="s">
        <v>50</v>
      </c>
      <c r="F62" s="5" t="s">
        <v>250</v>
      </c>
      <c r="G62" s="4" t="s">
        <v>52</v>
      </c>
      <c r="H62" s="2">
        <v>45846</v>
      </c>
      <c r="I62" s="4" t="s">
        <v>53</v>
      </c>
      <c r="J62" s="4" t="s">
        <v>54</v>
      </c>
      <c r="K62" s="4" t="s">
        <v>78</v>
      </c>
      <c r="L62" s="4" t="s">
        <v>86</v>
      </c>
      <c r="M62">
        <v>10</v>
      </c>
      <c r="N62">
        <v>5</v>
      </c>
      <c r="O62">
        <v>1</v>
      </c>
      <c r="P62">
        <v>6</v>
      </c>
      <c r="Q62">
        <v>12</v>
      </c>
      <c r="R62">
        <v>2</v>
      </c>
      <c r="S62">
        <v>3</v>
      </c>
      <c r="T62">
        <v>9</v>
      </c>
      <c r="U62">
        <v>4</v>
      </c>
      <c r="V62">
        <v>11</v>
      </c>
      <c r="W62">
        <v>7</v>
      </c>
      <c r="X62">
        <v>8</v>
      </c>
      <c r="Y62">
        <f>COUNTA(OfficeForms.Table[[#This Row],[elements_shelters]:[elements_restspots]])</f>
        <v>12</v>
      </c>
      <c r="Z62">
        <v>2</v>
      </c>
      <c r="AA62">
        <v>1</v>
      </c>
      <c r="AB62">
        <v>6</v>
      </c>
      <c r="AC62">
        <v>3</v>
      </c>
      <c r="AD62">
        <v>4</v>
      </c>
      <c r="AE62">
        <v>8</v>
      </c>
      <c r="AF62">
        <v>7</v>
      </c>
      <c r="AG62">
        <v>5</v>
      </c>
      <c r="AH62">
        <f>COUNTA(OfficeForms.Table[[#This Row],[pnuw_walktrails]:[pnuw_restspots]])</f>
        <v>8</v>
      </c>
      <c r="AI62" s="4" t="s">
        <v>117</v>
      </c>
      <c r="AJ62" s="4" t="s">
        <v>72</v>
      </c>
      <c r="AK62" s="4" t="s">
        <v>59</v>
      </c>
      <c r="AL62" s="4" t="s">
        <v>59</v>
      </c>
      <c r="AM62" s="4" t="s">
        <v>251</v>
      </c>
      <c r="AN62" s="4" t="s">
        <v>61</v>
      </c>
      <c r="AO62" s="4"/>
      <c r="AP62" s="4" t="s">
        <v>59</v>
      </c>
      <c r="AQ62" s="4" t="s">
        <v>252</v>
      </c>
      <c r="AR62" s="4" t="s">
        <v>61</v>
      </c>
      <c r="AS62" s="4"/>
      <c r="AT62" s="4" t="s">
        <v>63</v>
      </c>
      <c r="AU62" s="4" t="s">
        <v>73</v>
      </c>
      <c r="AV62" s="4" t="s">
        <v>99</v>
      </c>
      <c r="AW62" s="4" t="s">
        <v>129</v>
      </c>
      <c r="AX62" s="4" t="s">
        <v>129</v>
      </c>
      <c r="AY62" s="5"/>
    </row>
    <row r="63" spans="1:51" hidden="1" x14ac:dyDescent="0.3">
      <c r="A63">
        <v>62</v>
      </c>
      <c r="B63" s="3">
        <v>45884.447824074101</v>
      </c>
      <c r="C63" s="3">
        <v>45884.448854166701</v>
      </c>
      <c r="D63" s="4" t="s">
        <v>49</v>
      </c>
      <c r="E63" s="4" t="s">
        <v>50</v>
      </c>
      <c r="F63" s="5" t="s">
        <v>253</v>
      </c>
      <c r="G63" s="4" t="s">
        <v>52</v>
      </c>
      <c r="H63" s="2">
        <v>45846</v>
      </c>
      <c r="I63" s="4" t="s">
        <v>53</v>
      </c>
      <c r="J63" s="4" t="s">
        <v>85</v>
      </c>
      <c r="K63" s="4" t="s">
        <v>78</v>
      </c>
      <c r="L63" s="4" t="s">
        <v>70</v>
      </c>
      <c r="Y63">
        <f>COUNTA(OfficeForms.Table[[#This Row],[elements_shelters]:[elements_restspots]])</f>
        <v>0</v>
      </c>
      <c r="AH63">
        <f>COUNTA(OfficeForms.Table[[#This Row],[pnuw_walktrails]:[pnuw_restspots]])</f>
        <v>0</v>
      </c>
      <c r="AI63" s="4" t="s">
        <v>117</v>
      </c>
      <c r="AJ63" s="4" t="s">
        <v>72</v>
      </c>
      <c r="AK63" s="4" t="s">
        <v>59</v>
      </c>
      <c r="AL63" s="4" t="s">
        <v>59</v>
      </c>
      <c r="AM63" s="4" t="s">
        <v>254</v>
      </c>
      <c r="AN63" s="4" t="s">
        <v>61</v>
      </c>
      <c r="AO63" s="4"/>
      <c r="AP63" s="4" t="s">
        <v>59</v>
      </c>
      <c r="AQ63" s="4" t="s">
        <v>254</v>
      </c>
      <c r="AR63" s="4" t="s">
        <v>174</v>
      </c>
      <c r="AS63" s="4"/>
      <c r="AT63" s="4" t="s">
        <v>63</v>
      </c>
      <c r="AU63" s="4" t="s">
        <v>64</v>
      </c>
      <c r="AV63" s="4" t="s">
        <v>99</v>
      </c>
      <c r="AW63" s="4" t="s">
        <v>255</v>
      </c>
      <c r="AX63" s="4" t="s">
        <v>255</v>
      </c>
      <c r="AY63" s="5"/>
    </row>
    <row r="64" spans="1:51" hidden="1" x14ac:dyDescent="0.3">
      <c r="A64">
        <v>63</v>
      </c>
      <c r="B64" s="3">
        <v>45884.449016203696</v>
      </c>
      <c r="C64" s="3">
        <v>45884.450636574104</v>
      </c>
      <c r="D64" s="4" t="s">
        <v>49</v>
      </c>
      <c r="E64" s="4" t="s">
        <v>50</v>
      </c>
      <c r="F64" s="5" t="s">
        <v>256</v>
      </c>
      <c r="G64" s="4" t="s">
        <v>52</v>
      </c>
      <c r="H64" s="2">
        <v>45846</v>
      </c>
      <c r="I64" s="4" t="s">
        <v>53</v>
      </c>
      <c r="J64" s="4" t="s">
        <v>54</v>
      </c>
      <c r="K64" s="4" t="s">
        <v>78</v>
      </c>
      <c r="L64" s="4" t="s">
        <v>56</v>
      </c>
      <c r="Y64">
        <f>COUNTA(OfficeForms.Table[[#This Row],[elements_shelters]:[elements_restspots]])</f>
        <v>0</v>
      </c>
      <c r="Z64">
        <v>2</v>
      </c>
      <c r="AA64">
        <v>5</v>
      </c>
      <c r="AB64">
        <v>8</v>
      </c>
      <c r="AC64">
        <v>1</v>
      </c>
      <c r="AD64">
        <v>6</v>
      </c>
      <c r="AE64">
        <v>7</v>
      </c>
      <c r="AF64">
        <v>3</v>
      </c>
      <c r="AG64">
        <v>4</v>
      </c>
      <c r="AH64">
        <f>COUNTA(OfficeForms.Table[[#This Row],[pnuw_walktrails]:[pnuw_restspots]])</f>
        <v>8</v>
      </c>
      <c r="AI64" s="4" t="s">
        <v>117</v>
      </c>
      <c r="AJ64" s="4" t="s">
        <v>88</v>
      </c>
      <c r="AK64" s="4" t="s">
        <v>59</v>
      </c>
      <c r="AL64" s="4" t="s">
        <v>59</v>
      </c>
      <c r="AM64" s="4" t="s">
        <v>251</v>
      </c>
      <c r="AN64" s="4" t="s">
        <v>61</v>
      </c>
      <c r="AO64" s="4"/>
      <c r="AP64" s="4" t="s">
        <v>59</v>
      </c>
      <c r="AQ64" s="4" t="s">
        <v>251</v>
      </c>
      <c r="AR64" s="4" t="s">
        <v>61</v>
      </c>
      <c r="AS64" s="4"/>
      <c r="AT64" s="4" t="s">
        <v>63</v>
      </c>
      <c r="AU64" s="4" t="s">
        <v>73</v>
      </c>
      <c r="AV64" s="4" t="s">
        <v>82</v>
      </c>
      <c r="AW64" s="4" t="s">
        <v>257</v>
      </c>
      <c r="AX64" s="4" t="s">
        <v>258</v>
      </c>
      <c r="AY64" s="5"/>
    </row>
    <row r="65" spans="1:51" hidden="1" x14ac:dyDescent="0.3">
      <c r="A65">
        <v>64</v>
      </c>
      <c r="B65" s="3">
        <v>45884.450729166703</v>
      </c>
      <c r="C65" s="3">
        <v>45884.457893518498</v>
      </c>
      <c r="D65" s="4" t="s">
        <v>49</v>
      </c>
      <c r="E65" s="4" t="s">
        <v>50</v>
      </c>
      <c r="F65" s="5" t="s">
        <v>259</v>
      </c>
      <c r="G65" s="4" t="s">
        <v>52</v>
      </c>
      <c r="H65" s="2">
        <v>45846</v>
      </c>
      <c r="I65" s="4" t="s">
        <v>53</v>
      </c>
      <c r="J65" s="4" t="s">
        <v>54</v>
      </c>
      <c r="K65" s="4" t="s">
        <v>260</v>
      </c>
      <c r="L65" s="4" t="s">
        <v>56</v>
      </c>
      <c r="Y65">
        <f>COUNTA(OfficeForms.Table[[#This Row],[elements_shelters]:[elements_restspots]])</f>
        <v>0</v>
      </c>
      <c r="AH65">
        <f>COUNTA(OfficeForms.Table[[#This Row],[pnuw_walktrails]:[pnuw_restspots]])</f>
        <v>0</v>
      </c>
      <c r="AI65" s="4" t="s">
        <v>117</v>
      </c>
      <c r="AJ65" s="4" t="s">
        <v>88</v>
      </c>
      <c r="AK65" s="4" t="s">
        <v>60</v>
      </c>
      <c r="AL65" s="4"/>
      <c r="AM65" s="4"/>
      <c r="AN65" s="4"/>
      <c r="AO65" s="4"/>
      <c r="AP65" s="4"/>
      <c r="AQ65" s="4"/>
      <c r="AR65" s="4"/>
      <c r="AS65" s="4"/>
      <c r="AT65" s="4" t="s">
        <v>63</v>
      </c>
      <c r="AU65" s="4" t="s">
        <v>64</v>
      </c>
      <c r="AV65" s="4" t="s">
        <v>99</v>
      </c>
      <c r="AW65" s="4" t="s">
        <v>144</v>
      </c>
      <c r="AX65" s="4" t="s">
        <v>67</v>
      </c>
      <c r="AY65" s="5"/>
    </row>
    <row r="66" spans="1:51" hidden="1" x14ac:dyDescent="0.3">
      <c r="A66">
        <v>65</v>
      </c>
      <c r="B66" s="3">
        <v>45884.457916666703</v>
      </c>
      <c r="C66" s="3">
        <v>45884.462534722203</v>
      </c>
      <c r="D66" s="4" t="s">
        <v>49</v>
      </c>
      <c r="E66" s="4" t="s">
        <v>50</v>
      </c>
      <c r="F66" s="5" t="s">
        <v>261</v>
      </c>
      <c r="G66" s="4" t="s">
        <v>52</v>
      </c>
      <c r="H66" s="2">
        <v>45846</v>
      </c>
      <c r="I66" s="4" t="s">
        <v>53</v>
      </c>
      <c r="J66" s="4" t="s">
        <v>69</v>
      </c>
      <c r="K66" s="4" t="s">
        <v>55</v>
      </c>
      <c r="L66" s="4" t="s">
        <v>56</v>
      </c>
      <c r="M66">
        <v>8</v>
      </c>
      <c r="N66">
        <v>1</v>
      </c>
      <c r="O66">
        <v>7</v>
      </c>
      <c r="P66">
        <v>2</v>
      </c>
      <c r="Q66">
        <v>12</v>
      </c>
      <c r="R66">
        <v>4</v>
      </c>
      <c r="S66">
        <v>3</v>
      </c>
      <c r="T66">
        <v>10</v>
      </c>
      <c r="U66">
        <v>5</v>
      </c>
      <c r="V66">
        <v>9</v>
      </c>
      <c r="W66">
        <v>6</v>
      </c>
      <c r="X66">
        <v>4</v>
      </c>
      <c r="Y66">
        <f>COUNTA(OfficeForms.Table[[#This Row],[elements_shelters]:[elements_restspots]])</f>
        <v>12</v>
      </c>
      <c r="Z66">
        <v>1</v>
      </c>
      <c r="AA66">
        <v>6</v>
      </c>
      <c r="AB66">
        <v>2</v>
      </c>
      <c r="AC66">
        <v>7</v>
      </c>
      <c r="AD66">
        <v>3</v>
      </c>
      <c r="AE66">
        <v>5</v>
      </c>
      <c r="AF66">
        <v>4</v>
      </c>
      <c r="AG66">
        <v>8</v>
      </c>
      <c r="AH66">
        <f>COUNTA(OfficeForms.Table[[#This Row],[pnuw_walktrails]:[pnuw_restspots]])</f>
        <v>8</v>
      </c>
      <c r="AI66" s="4" t="s">
        <v>117</v>
      </c>
      <c r="AJ66" s="4" t="s">
        <v>88</v>
      </c>
      <c r="AK66" s="4" t="s">
        <v>59</v>
      </c>
      <c r="AL66" s="4" t="s">
        <v>59</v>
      </c>
      <c r="AM66" s="4" t="s">
        <v>262</v>
      </c>
      <c r="AN66" s="4" t="s">
        <v>61</v>
      </c>
      <c r="AO66" s="4"/>
      <c r="AP66" s="4" t="s">
        <v>59</v>
      </c>
      <c r="AQ66" s="4" t="s">
        <v>263</v>
      </c>
      <c r="AR66" s="4" t="s">
        <v>61</v>
      </c>
      <c r="AS66" s="4"/>
      <c r="AT66" s="4" t="s">
        <v>63</v>
      </c>
      <c r="AU66" s="4" t="s">
        <v>64</v>
      </c>
      <c r="AV66" s="4" t="s">
        <v>74</v>
      </c>
      <c r="AW66" s="4" t="s">
        <v>264</v>
      </c>
      <c r="AX66" s="4" t="s">
        <v>265</v>
      </c>
      <c r="AY66" s="5"/>
    </row>
    <row r="67" spans="1:51" hidden="1" x14ac:dyDescent="0.3">
      <c r="A67">
        <v>66</v>
      </c>
      <c r="B67" s="3">
        <v>45884.4625578704</v>
      </c>
      <c r="C67" s="3">
        <v>45884.463981481502</v>
      </c>
      <c r="D67" s="4" t="s">
        <v>49</v>
      </c>
      <c r="E67" s="4" t="s">
        <v>50</v>
      </c>
      <c r="F67" s="5" t="s">
        <v>266</v>
      </c>
      <c r="G67" s="4" t="s">
        <v>52</v>
      </c>
      <c r="H67" s="2">
        <v>45846</v>
      </c>
      <c r="I67" s="4" t="s">
        <v>53</v>
      </c>
      <c r="J67" s="4" t="s">
        <v>69</v>
      </c>
      <c r="K67" s="4" t="s">
        <v>55</v>
      </c>
      <c r="L67" s="4" t="s">
        <v>56</v>
      </c>
      <c r="M67">
        <v>6</v>
      </c>
      <c r="N67">
        <v>2</v>
      </c>
      <c r="O67">
        <v>3</v>
      </c>
      <c r="P67">
        <v>4</v>
      </c>
      <c r="Q67">
        <v>5</v>
      </c>
      <c r="R67">
        <v>1</v>
      </c>
      <c r="S67">
        <v>7</v>
      </c>
      <c r="T67">
        <v>8</v>
      </c>
      <c r="U67">
        <v>9</v>
      </c>
      <c r="V67">
        <v>12</v>
      </c>
      <c r="W67">
        <v>10</v>
      </c>
      <c r="X67">
        <v>11</v>
      </c>
      <c r="Y67">
        <f>COUNTA(OfficeForms.Table[[#This Row],[elements_shelters]:[elements_restspots]])</f>
        <v>12</v>
      </c>
      <c r="Z67">
        <v>1</v>
      </c>
      <c r="AA67">
        <v>2</v>
      </c>
      <c r="AB67">
        <v>3</v>
      </c>
      <c r="AC67">
        <v>4</v>
      </c>
      <c r="AD67">
        <v>5</v>
      </c>
      <c r="AE67">
        <v>6</v>
      </c>
      <c r="AF67">
        <v>7</v>
      </c>
      <c r="AG67">
        <v>8</v>
      </c>
      <c r="AH67">
        <f>COUNTA(OfficeForms.Table[[#This Row],[pnuw_walktrails]:[pnuw_restspots]])</f>
        <v>8</v>
      </c>
      <c r="AI67" s="4" t="s">
        <v>267</v>
      </c>
      <c r="AJ67" s="4" t="s">
        <v>268</v>
      </c>
      <c r="AK67" s="4" t="s">
        <v>59</v>
      </c>
      <c r="AL67" s="4" t="s">
        <v>59</v>
      </c>
      <c r="AM67" s="4" t="s">
        <v>269</v>
      </c>
      <c r="AN67" s="4" t="s">
        <v>270</v>
      </c>
      <c r="AO67" s="4"/>
      <c r="AP67" s="4" t="s">
        <v>59</v>
      </c>
      <c r="AQ67" s="4" t="s">
        <v>269</v>
      </c>
      <c r="AR67" s="4" t="s">
        <v>270</v>
      </c>
      <c r="AS67" s="4"/>
      <c r="AT67" s="4" t="s">
        <v>81</v>
      </c>
      <c r="AU67" s="4" t="s">
        <v>64</v>
      </c>
      <c r="AV67" s="4" t="s">
        <v>82</v>
      </c>
      <c r="AW67" s="4" t="s">
        <v>264</v>
      </c>
      <c r="AX67" s="4" t="s">
        <v>265</v>
      </c>
      <c r="AY67" s="5"/>
    </row>
    <row r="68" spans="1:51" hidden="1" x14ac:dyDescent="0.3">
      <c r="A68">
        <v>67</v>
      </c>
      <c r="B68" s="3">
        <v>45884.464097222197</v>
      </c>
      <c r="C68" s="3">
        <v>45884.465706018498</v>
      </c>
      <c r="D68" s="4" t="s">
        <v>49</v>
      </c>
      <c r="E68" s="4" t="s">
        <v>50</v>
      </c>
      <c r="F68" s="5" t="s">
        <v>271</v>
      </c>
      <c r="G68" s="4" t="s">
        <v>52</v>
      </c>
      <c r="H68" s="2">
        <v>45847</v>
      </c>
      <c r="I68" s="4" t="s">
        <v>53</v>
      </c>
      <c r="J68" s="4" t="s">
        <v>69</v>
      </c>
      <c r="K68" s="4" t="s">
        <v>78</v>
      </c>
      <c r="L68" s="4" t="s">
        <v>56</v>
      </c>
      <c r="M68">
        <v>7</v>
      </c>
      <c r="N68">
        <v>1</v>
      </c>
      <c r="O68">
        <v>2</v>
      </c>
      <c r="P68">
        <v>11</v>
      </c>
      <c r="Q68">
        <v>12</v>
      </c>
      <c r="R68">
        <v>6</v>
      </c>
      <c r="S68">
        <v>5</v>
      </c>
      <c r="T68">
        <v>8</v>
      </c>
      <c r="U68">
        <v>9</v>
      </c>
      <c r="V68">
        <v>10</v>
      </c>
      <c r="W68">
        <v>3</v>
      </c>
      <c r="X68">
        <v>4</v>
      </c>
      <c r="Y68">
        <f>COUNTA(OfficeForms.Table[[#This Row],[elements_shelters]:[elements_restspots]])</f>
        <v>12</v>
      </c>
      <c r="Z68">
        <v>1</v>
      </c>
      <c r="AA68">
        <v>2</v>
      </c>
      <c r="AB68">
        <v>8</v>
      </c>
      <c r="AC68">
        <v>3</v>
      </c>
      <c r="AD68">
        <v>6</v>
      </c>
      <c r="AE68">
        <v>7</v>
      </c>
      <c r="AF68">
        <v>4</v>
      </c>
      <c r="AG68">
        <v>5</v>
      </c>
      <c r="AH68">
        <f>COUNTA(OfficeForms.Table[[#This Row],[pnuw_walktrails]:[pnuw_restspots]])</f>
        <v>8</v>
      </c>
      <c r="AI68" s="4" t="s">
        <v>272</v>
      </c>
      <c r="AJ68" s="4" t="s">
        <v>88</v>
      </c>
      <c r="AK68" s="4" t="s">
        <v>59</v>
      </c>
      <c r="AL68" s="4" t="s">
        <v>60</v>
      </c>
      <c r="AM68" s="4"/>
      <c r="AN68" s="4" t="s">
        <v>61</v>
      </c>
      <c r="AO68" s="4"/>
      <c r="AP68" s="4" t="s">
        <v>59</v>
      </c>
      <c r="AQ68" s="4" t="s">
        <v>273</v>
      </c>
      <c r="AR68" s="4" t="s">
        <v>61</v>
      </c>
      <c r="AS68" s="4"/>
      <c r="AT68" s="4" t="s">
        <v>63</v>
      </c>
      <c r="AU68" s="4" t="s">
        <v>73</v>
      </c>
      <c r="AV68" s="4" t="s">
        <v>65</v>
      </c>
      <c r="AW68" s="4" t="s">
        <v>144</v>
      </c>
      <c r="AX68" s="4" t="s">
        <v>67</v>
      </c>
      <c r="AY68" s="5"/>
    </row>
    <row r="69" spans="1:51" hidden="1" x14ac:dyDescent="0.3">
      <c r="A69">
        <v>68</v>
      </c>
      <c r="B69" s="3">
        <v>45884.465810185196</v>
      </c>
      <c r="C69" s="3">
        <v>45884.467106481497</v>
      </c>
      <c r="D69" s="4" t="s">
        <v>49</v>
      </c>
      <c r="E69" s="4" t="s">
        <v>50</v>
      </c>
      <c r="F69" s="5" t="s">
        <v>274</v>
      </c>
      <c r="G69" s="4" t="s">
        <v>52</v>
      </c>
      <c r="H69" s="2">
        <v>45847</v>
      </c>
      <c r="I69" s="4" t="s">
        <v>53</v>
      </c>
      <c r="J69" s="4" t="s">
        <v>69</v>
      </c>
      <c r="K69" s="4" t="s">
        <v>78</v>
      </c>
      <c r="L69" s="4" t="s">
        <v>56</v>
      </c>
      <c r="M69">
        <v>9</v>
      </c>
      <c r="N69">
        <v>2</v>
      </c>
      <c r="O69">
        <v>3</v>
      </c>
      <c r="P69">
        <v>6</v>
      </c>
      <c r="Q69">
        <v>10</v>
      </c>
      <c r="R69">
        <v>1</v>
      </c>
      <c r="S69">
        <v>8</v>
      </c>
      <c r="T69">
        <v>7</v>
      </c>
      <c r="U69">
        <v>11</v>
      </c>
      <c r="V69">
        <v>12</v>
      </c>
      <c r="W69">
        <v>5</v>
      </c>
      <c r="X69">
        <v>4</v>
      </c>
      <c r="Y69">
        <f>COUNTA(OfficeForms.Table[[#This Row],[elements_shelters]:[elements_restspots]])</f>
        <v>12</v>
      </c>
      <c r="AH69">
        <f>COUNTA(OfficeForms.Table[[#This Row],[pnuw_walktrails]:[pnuw_restspots]])</f>
        <v>0</v>
      </c>
      <c r="AI69" s="4" t="s">
        <v>117</v>
      </c>
      <c r="AJ69" s="4" t="s">
        <v>88</v>
      </c>
      <c r="AK69" s="4" t="s">
        <v>59</v>
      </c>
      <c r="AL69" s="4" t="s">
        <v>60</v>
      </c>
      <c r="AM69" s="4"/>
      <c r="AN69" s="4" t="s">
        <v>61</v>
      </c>
      <c r="AO69" s="4"/>
      <c r="AP69" s="4" t="s">
        <v>59</v>
      </c>
      <c r="AQ69" s="4" t="s">
        <v>275</v>
      </c>
      <c r="AR69" s="4" t="s">
        <v>61</v>
      </c>
      <c r="AS69" s="4"/>
      <c r="AT69" s="4" t="s">
        <v>81</v>
      </c>
      <c r="AU69" s="4" t="s">
        <v>73</v>
      </c>
      <c r="AV69" s="4" t="s">
        <v>125</v>
      </c>
      <c r="AW69" s="4" t="s">
        <v>144</v>
      </c>
      <c r="AX69" s="4" t="s">
        <v>67</v>
      </c>
      <c r="AY69" s="5"/>
    </row>
    <row r="70" spans="1:51" hidden="1" x14ac:dyDescent="0.3">
      <c r="A70">
        <v>69</v>
      </c>
      <c r="B70" s="3">
        <v>45884.467233796298</v>
      </c>
      <c r="C70" s="3">
        <v>45884.468495370398</v>
      </c>
      <c r="D70" s="4" t="s">
        <v>49</v>
      </c>
      <c r="E70" s="4" t="s">
        <v>50</v>
      </c>
      <c r="F70" s="5" t="s">
        <v>276</v>
      </c>
      <c r="G70" s="4" t="s">
        <v>52</v>
      </c>
      <c r="H70" s="2">
        <v>45847</v>
      </c>
      <c r="I70" s="4" t="s">
        <v>53</v>
      </c>
      <c r="J70" s="4" t="s">
        <v>54</v>
      </c>
      <c r="K70" s="4" t="s">
        <v>78</v>
      </c>
      <c r="L70" s="4" t="s">
        <v>56</v>
      </c>
      <c r="M70">
        <v>9</v>
      </c>
      <c r="N70">
        <v>7</v>
      </c>
      <c r="O70">
        <v>8</v>
      </c>
      <c r="P70">
        <v>2</v>
      </c>
      <c r="Q70">
        <v>11</v>
      </c>
      <c r="R70">
        <v>3</v>
      </c>
      <c r="S70">
        <v>4</v>
      </c>
      <c r="T70">
        <v>7</v>
      </c>
      <c r="U70">
        <v>10</v>
      </c>
      <c r="V70">
        <v>12</v>
      </c>
      <c r="W70">
        <v>5</v>
      </c>
      <c r="X70">
        <v>6</v>
      </c>
      <c r="Y70">
        <f>COUNTA(OfficeForms.Table[[#This Row],[elements_shelters]:[elements_restspots]])</f>
        <v>12</v>
      </c>
      <c r="Z70">
        <v>6</v>
      </c>
      <c r="AA70">
        <v>7</v>
      </c>
      <c r="AB70">
        <v>8</v>
      </c>
      <c r="AC70">
        <v>1</v>
      </c>
      <c r="AD70">
        <v>2</v>
      </c>
      <c r="AE70">
        <v>3</v>
      </c>
      <c r="AF70">
        <v>5</v>
      </c>
      <c r="AG70">
        <v>4</v>
      </c>
      <c r="AH70">
        <f>COUNTA(OfficeForms.Table[[#This Row],[pnuw_walktrails]:[pnuw_restspots]])</f>
        <v>8</v>
      </c>
      <c r="AI70" s="4" t="s">
        <v>117</v>
      </c>
      <c r="AJ70" s="4" t="s">
        <v>80</v>
      </c>
      <c r="AK70" s="4" t="s">
        <v>60</v>
      </c>
      <c r="AL70" s="4"/>
      <c r="AM70" s="4"/>
      <c r="AN70" s="4"/>
      <c r="AO70" s="4"/>
      <c r="AP70" s="4"/>
      <c r="AQ70" s="4"/>
      <c r="AR70" s="4"/>
      <c r="AS70" s="4"/>
      <c r="AT70" s="4" t="s">
        <v>63</v>
      </c>
      <c r="AU70" s="4" t="s">
        <v>108</v>
      </c>
      <c r="AV70" s="4" t="s">
        <v>74</v>
      </c>
      <c r="AW70" s="4" t="s">
        <v>277</v>
      </c>
      <c r="AX70" s="4" t="s">
        <v>115</v>
      </c>
      <c r="AY70" s="5"/>
    </row>
    <row r="71" spans="1:51" hidden="1" x14ac:dyDescent="0.3">
      <c r="A71">
        <v>70</v>
      </c>
      <c r="B71" s="3">
        <v>45884.469849537003</v>
      </c>
      <c r="C71" s="3">
        <v>45884.469930555599</v>
      </c>
      <c r="D71" s="4" t="s">
        <v>49</v>
      </c>
      <c r="E71" s="4" t="s">
        <v>50</v>
      </c>
      <c r="F71" s="5" t="s">
        <v>278</v>
      </c>
      <c r="G71" s="4" t="s">
        <v>52</v>
      </c>
      <c r="H71" s="2">
        <v>45847</v>
      </c>
      <c r="I71" s="4" t="s">
        <v>53</v>
      </c>
      <c r="J71" s="4" t="s">
        <v>54</v>
      </c>
      <c r="K71" s="4" t="s">
        <v>78</v>
      </c>
      <c r="L71" s="4" t="s">
        <v>56</v>
      </c>
      <c r="M71">
        <v>11</v>
      </c>
      <c r="N71">
        <v>1</v>
      </c>
      <c r="O71">
        <v>9</v>
      </c>
      <c r="P71">
        <v>2</v>
      </c>
      <c r="Q71">
        <v>12</v>
      </c>
      <c r="R71">
        <v>3</v>
      </c>
      <c r="S71">
        <v>4</v>
      </c>
      <c r="T71">
        <v>8</v>
      </c>
      <c r="U71">
        <v>7</v>
      </c>
      <c r="V71">
        <v>10</v>
      </c>
      <c r="W71">
        <v>4</v>
      </c>
      <c r="X71">
        <v>5</v>
      </c>
      <c r="Y71">
        <f>COUNTA(OfficeForms.Table[[#This Row],[elements_shelters]:[elements_restspots]])</f>
        <v>12</v>
      </c>
      <c r="Z71">
        <v>1</v>
      </c>
      <c r="AA71">
        <v>8</v>
      </c>
      <c r="AB71">
        <v>2</v>
      </c>
      <c r="AC71">
        <v>3</v>
      </c>
      <c r="AD71">
        <v>5</v>
      </c>
      <c r="AE71">
        <v>4</v>
      </c>
      <c r="AF71">
        <v>6</v>
      </c>
      <c r="AG71">
        <v>7</v>
      </c>
      <c r="AH71">
        <f>COUNTA(OfficeForms.Table[[#This Row],[pnuw_walktrails]:[pnuw_restspots]])</f>
        <v>8</v>
      </c>
      <c r="AI71" s="4" t="s">
        <v>117</v>
      </c>
      <c r="AJ71" s="4" t="s">
        <v>80</v>
      </c>
      <c r="AK71" s="4" t="s">
        <v>60</v>
      </c>
      <c r="AL71" s="4"/>
      <c r="AM71" s="4"/>
      <c r="AN71" s="4"/>
      <c r="AO71" s="4"/>
      <c r="AP71" s="4"/>
      <c r="AQ71" s="4"/>
      <c r="AR71" s="4"/>
      <c r="AS71" s="4"/>
      <c r="AT71" s="4" t="s">
        <v>81</v>
      </c>
      <c r="AU71" s="4" t="s">
        <v>64</v>
      </c>
      <c r="AV71" s="4" t="s">
        <v>125</v>
      </c>
      <c r="AW71" s="4" t="s">
        <v>277</v>
      </c>
      <c r="AX71" s="4" t="s">
        <v>115</v>
      </c>
      <c r="AY71" s="5"/>
    </row>
    <row r="72" spans="1:51" hidden="1" x14ac:dyDescent="0.3">
      <c r="A72">
        <v>71</v>
      </c>
      <c r="B72" s="3">
        <v>45884.520821759303</v>
      </c>
      <c r="C72" s="3">
        <v>45884.521064814799</v>
      </c>
      <c r="D72" s="4" t="s">
        <v>49</v>
      </c>
      <c r="E72" s="4" t="s">
        <v>50</v>
      </c>
      <c r="F72" s="5" t="s">
        <v>279</v>
      </c>
      <c r="G72" s="4" t="s">
        <v>132</v>
      </c>
      <c r="H72" s="2">
        <v>45845</v>
      </c>
      <c r="I72" s="4" t="s">
        <v>53</v>
      </c>
      <c r="J72" s="4" t="s">
        <v>54</v>
      </c>
      <c r="K72" s="4" t="s">
        <v>78</v>
      </c>
      <c r="L72" s="4" t="s">
        <v>56</v>
      </c>
      <c r="M72">
        <v>4</v>
      </c>
      <c r="N72">
        <v>1</v>
      </c>
      <c r="O72">
        <v>2</v>
      </c>
      <c r="P72">
        <v>10</v>
      </c>
      <c r="Q72">
        <v>12</v>
      </c>
      <c r="R72">
        <v>6</v>
      </c>
      <c r="S72">
        <v>5</v>
      </c>
      <c r="T72">
        <v>7</v>
      </c>
      <c r="U72">
        <v>8</v>
      </c>
      <c r="V72">
        <v>11</v>
      </c>
      <c r="W72">
        <v>3</v>
      </c>
      <c r="X72">
        <v>9</v>
      </c>
      <c r="Y72">
        <f>COUNTA(OfficeForms.Table[[#This Row],[elements_shelters]:[elements_restspots]])</f>
        <v>12</v>
      </c>
      <c r="Z72">
        <v>1</v>
      </c>
      <c r="AA72">
        <v>4</v>
      </c>
      <c r="AB72">
        <v>8</v>
      </c>
      <c r="AC72">
        <v>7</v>
      </c>
      <c r="AD72">
        <v>2</v>
      </c>
      <c r="AE72">
        <v>6</v>
      </c>
      <c r="AF72">
        <v>5</v>
      </c>
      <c r="AG72">
        <v>3</v>
      </c>
      <c r="AH72">
        <f>COUNTA(OfficeForms.Table[[#This Row],[pnuw_walktrails]:[pnuw_restspots]])</f>
        <v>8</v>
      </c>
      <c r="AI72" s="4" t="s">
        <v>117</v>
      </c>
      <c r="AJ72" s="4" t="s">
        <v>72</v>
      </c>
      <c r="AK72" s="4" t="s">
        <v>60</v>
      </c>
      <c r="AL72" s="4"/>
      <c r="AM72" s="4"/>
      <c r="AN72" s="4"/>
      <c r="AO72" s="4"/>
      <c r="AP72" s="4"/>
      <c r="AQ72" s="4"/>
      <c r="AR72" s="4"/>
      <c r="AS72" s="4"/>
      <c r="AT72" s="4" t="s">
        <v>81</v>
      </c>
      <c r="AU72" s="4" t="s">
        <v>73</v>
      </c>
      <c r="AV72" s="4" t="s">
        <v>82</v>
      </c>
      <c r="AW72" s="4" t="s">
        <v>280</v>
      </c>
      <c r="AX72" s="4" t="s">
        <v>280</v>
      </c>
      <c r="AY72" s="5"/>
    </row>
    <row r="73" spans="1:51" hidden="1" x14ac:dyDescent="0.3">
      <c r="A73">
        <v>72</v>
      </c>
      <c r="B73" s="3">
        <v>45884.521099537</v>
      </c>
      <c r="C73" s="3">
        <v>45884.522233796299</v>
      </c>
      <c r="D73" s="4" t="s">
        <v>49</v>
      </c>
      <c r="E73" s="4" t="s">
        <v>50</v>
      </c>
      <c r="F73" s="5" t="s">
        <v>281</v>
      </c>
      <c r="G73" s="4" t="s">
        <v>132</v>
      </c>
      <c r="H73" s="2">
        <v>45845</v>
      </c>
      <c r="I73" s="4" t="s">
        <v>53</v>
      </c>
      <c r="J73" s="4" t="s">
        <v>54</v>
      </c>
      <c r="K73" s="4" t="s">
        <v>78</v>
      </c>
      <c r="L73" s="4" t="s">
        <v>56</v>
      </c>
      <c r="M73">
        <v>10</v>
      </c>
      <c r="N73">
        <v>8</v>
      </c>
      <c r="O73">
        <v>9</v>
      </c>
      <c r="P73">
        <v>11</v>
      </c>
      <c r="Q73">
        <v>12</v>
      </c>
      <c r="R73">
        <v>7</v>
      </c>
      <c r="S73">
        <v>6</v>
      </c>
      <c r="T73">
        <v>4</v>
      </c>
      <c r="U73">
        <v>3</v>
      </c>
      <c r="V73">
        <v>2</v>
      </c>
      <c r="W73">
        <v>5</v>
      </c>
      <c r="X73">
        <v>1</v>
      </c>
      <c r="Y73">
        <f>COUNTA(OfficeForms.Table[[#This Row],[elements_shelters]:[elements_restspots]])</f>
        <v>12</v>
      </c>
      <c r="Z73">
        <v>1</v>
      </c>
      <c r="AA73">
        <v>2</v>
      </c>
      <c r="AB73">
        <v>8</v>
      </c>
      <c r="AC73">
        <v>3</v>
      </c>
      <c r="AD73">
        <v>4</v>
      </c>
      <c r="AE73">
        <v>7</v>
      </c>
      <c r="AF73">
        <v>5</v>
      </c>
      <c r="AG73">
        <v>6</v>
      </c>
      <c r="AH73">
        <f>COUNTA(OfficeForms.Table[[#This Row],[pnuw_walktrails]:[pnuw_restspots]])</f>
        <v>8</v>
      </c>
      <c r="AI73" s="4" t="s">
        <v>117</v>
      </c>
      <c r="AJ73" s="4" t="s">
        <v>72</v>
      </c>
      <c r="AK73" s="4" t="s">
        <v>60</v>
      </c>
      <c r="AL73" s="4"/>
      <c r="AM73" s="4"/>
      <c r="AN73" s="4"/>
      <c r="AO73" s="4"/>
      <c r="AP73" s="4"/>
      <c r="AQ73" s="4"/>
      <c r="AR73" s="4"/>
      <c r="AS73" s="4"/>
      <c r="AT73" s="4" t="s">
        <v>63</v>
      </c>
      <c r="AU73" s="4" t="s">
        <v>73</v>
      </c>
      <c r="AV73" s="4" t="s">
        <v>82</v>
      </c>
      <c r="AW73" s="4" t="s">
        <v>280</v>
      </c>
      <c r="AX73" s="4" t="s">
        <v>280</v>
      </c>
      <c r="AY73" s="5"/>
    </row>
    <row r="74" spans="1:51" hidden="1" x14ac:dyDescent="0.3">
      <c r="A74">
        <v>73</v>
      </c>
      <c r="B74" s="3">
        <v>45884.522256944401</v>
      </c>
      <c r="C74" s="3">
        <v>45884.523460648197</v>
      </c>
      <c r="D74" s="4" t="s">
        <v>49</v>
      </c>
      <c r="E74" s="4" t="s">
        <v>50</v>
      </c>
      <c r="F74" s="5" t="s">
        <v>282</v>
      </c>
      <c r="G74" s="4" t="s">
        <v>132</v>
      </c>
      <c r="H74" s="2">
        <v>45846</v>
      </c>
      <c r="I74" s="4" t="s">
        <v>53</v>
      </c>
      <c r="J74" s="4" t="s">
        <v>85</v>
      </c>
      <c r="K74" s="4" t="s">
        <v>78</v>
      </c>
      <c r="L74" s="4" t="s">
        <v>56</v>
      </c>
      <c r="M74">
        <v>10</v>
      </c>
      <c r="N74">
        <v>1</v>
      </c>
      <c r="O74">
        <v>2</v>
      </c>
      <c r="P74">
        <v>11</v>
      </c>
      <c r="Q74">
        <v>12</v>
      </c>
      <c r="R74">
        <v>4</v>
      </c>
      <c r="S74">
        <v>3</v>
      </c>
      <c r="T74">
        <v>8</v>
      </c>
      <c r="U74">
        <v>7</v>
      </c>
      <c r="V74">
        <v>9</v>
      </c>
      <c r="W74">
        <v>5</v>
      </c>
      <c r="X74">
        <v>6</v>
      </c>
      <c r="Y74">
        <f>COUNTA(OfficeForms.Table[[#This Row],[elements_shelters]:[elements_restspots]])</f>
        <v>12</v>
      </c>
      <c r="Z74">
        <v>1</v>
      </c>
      <c r="AA74">
        <v>6</v>
      </c>
      <c r="AB74">
        <v>8</v>
      </c>
      <c r="AC74">
        <v>2</v>
      </c>
      <c r="AD74">
        <v>3</v>
      </c>
      <c r="AE74">
        <v>4</v>
      </c>
      <c r="AF74">
        <v>5</v>
      </c>
      <c r="AG74">
        <v>7</v>
      </c>
      <c r="AH74">
        <f>COUNTA(OfficeForms.Table[[#This Row],[pnuw_walktrails]:[pnuw_restspots]])</f>
        <v>8</v>
      </c>
      <c r="AI74" s="4" t="s">
        <v>117</v>
      </c>
      <c r="AJ74" s="4" t="s">
        <v>88</v>
      </c>
      <c r="AK74" s="4" t="s">
        <v>60</v>
      </c>
      <c r="AL74" s="4"/>
      <c r="AM74" s="4"/>
      <c r="AN74" s="4"/>
      <c r="AO74" s="4"/>
      <c r="AP74" s="4"/>
      <c r="AQ74" s="4"/>
      <c r="AR74" s="4"/>
      <c r="AS74" s="4"/>
      <c r="AT74" s="4" t="s">
        <v>81</v>
      </c>
      <c r="AU74" s="4" t="s">
        <v>73</v>
      </c>
      <c r="AV74" s="4" t="s">
        <v>82</v>
      </c>
      <c r="AW74" s="4" t="s">
        <v>283</v>
      </c>
      <c r="AX74" s="4" t="s">
        <v>283</v>
      </c>
      <c r="AY74" s="5"/>
    </row>
    <row r="75" spans="1:51" hidden="1" x14ac:dyDescent="0.3">
      <c r="A75">
        <v>74</v>
      </c>
      <c r="B75" s="3">
        <v>45884.523611111101</v>
      </c>
      <c r="C75" s="3">
        <v>45884.525162037004</v>
      </c>
      <c r="D75" s="4" t="s">
        <v>49</v>
      </c>
      <c r="E75" s="4" t="s">
        <v>50</v>
      </c>
      <c r="F75" s="5" t="s">
        <v>284</v>
      </c>
      <c r="G75" s="4" t="s">
        <v>132</v>
      </c>
      <c r="H75" s="2">
        <v>45846</v>
      </c>
      <c r="I75" s="4" t="s">
        <v>53</v>
      </c>
      <c r="J75" s="4" t="s">
        <v>85</v>
      </c>
      <c r="K75" s="4" t="s">
        <v>78</v>
      </c>
      <c r="L75" s="4" t="s">
        <v>56</v>
      </c>
      <c r="M75">
        <v>10</v>
      </c>
      <c r="N75">
        <v>1</v>
      </c>
      <c r="O75">
        <v>2</v>
      </c>
      <c r="P75">
        <v>4</v>
      </c>
      <c r="Q75">
        <v>11</v>
      </c>
      <c r="R75">
        <v>5</v>
      </c>
      <c r="S75">
        <v>7</v>
      </c>
      <c r="T75">
        <v>8</v>
      </c>
      <c r="U75">
        <v>9</v>
      </c>
      <c r="V75">
        <v>12</v>
      </c>
      <c r="W75">
        <v>3</v>
      </c>
      <c r="X75">
        <v>6</v>
      </c>
      <c r="Y75">
        <f>COUNTA(OfficeForms.Table[[#This Row],[elements_shelters]:[elements_restspots]])</f>
        <v>12</v>
      </c>
      <c r="Z75">
        <v>1</v>
      </c>
      <c r="AA75">
        <v>2</v>
      </c>
      <c r="AB75">
        <v>6</v>
      </c>
      <c r="AC75">
        <v>3</v>
      </c>
      <c r="AD75">
        <v>4</v>
      </c>
      <c r="AE75">
        <v>8</v>
      </c>
      <c r="AF75">
        <v>5</v>
      </c>
      <c r="AG75">
        <v>7</v>
      </c>
      <c r="AH75">
        <f>COUNTA(OfficeForms.Table[[#This Row],[pnuw_walktrails]:[pnuw_restspots]])</f>
        <v>8</v>
      </c>
      <c r="AI75" s="4" t="s">
        <v>117</v>
      </c>
      <c r="AJ75" s="4" t="s">
        <v>88</v>
      </c>
      <c r="AK75" s="4" t="s">
        <v>60</v>
      </c>
      <c r="AL75" s="4"/>
      <c r="AM75" s="4"/>
      <c r="AN75" s="4"/>
      <c r="AO75" s="4"/>
      <c r="AP75" s="4"/>
      <c r="AQ75" s="4"/>
      <c r="AR75" s="4"/>
      <c r="AS75" s="4"/>
      <c r="AT75" s="4" t="s">
        <v>63</v>
      </c>
      <c r="AU75" s="4" t="s">
        <v>73</v>
      </c>
      <c r="AV75" s="4" t="s">
        <v>82</v>
      </c>
      <c r="AW75" s="4" t="s">
        <v>283</v>
      </c>
      <c r="AX75" s="4" t="s">
        <v>283</v>
      </c>
      <c r="AY75" s="5"/>
    </row>
    <row r="76" spans="1:51" hidden="1" x14ac:dyDescent="0.3">
      <c r="A76">
        <v>75</v>
      </c>
      <c r="B76" s="3">
        <v>45884.525312500002</v>
      </c>
      <c r="C76" s="3">
        <v>45884.526527777802</v>
      </c>
      <c r="D76" s="4" t="s">
        <v>49</v>
      </c>
      <c r="E76" s="4" t="s">
        <v>50</v>
      </c>
      <c r="F76" s="5" t="s">
        <v>285</v>
      </c>
      <c r="G76" s="4" t="s">
        <v>132</v>
      </c>
      <c r="H76" s="2">
        <v>45846</v>
      </c>
      <c r="I76" s="4" t="s">
        <v>53</v>
      </c>
      <c r="J76" s="4" t="s">
        <v>54</v>
      </c>
      <c r="K76" s="4" t="s">
        <v>55</v>
      </c>
      <c r="L76" s="4" t="s">
        <v>56</v>
      </c>
      <c r="M76">
        <v>10</v>
      </c>
      <c r="N76">
        <v>3</v>
      </c>
      <c r="O76">
        <v>7</v>
      </c>
      <c r="P76">
        <v>1</v>
      </c>
      <c r="Q76">
        <v>11</v>
      </c>
      <c r="R76">
        <v>2</v>
      </c>
      <c r="S76">
        <v>8</v>
      </c>
      <c r="T76">
        <v>5</v>
      </c>
      <c r="U76">
        <v>6</v>
      </c>
      <c r="V76">
        <v>12</v>
      </c>
      <c r="W76">
        <v>9</v>
      </c>
      <c r="X76">
        <v>4</v>
      </c>
      <c r="Y76">
        <f>COUNTA(OfficeForms.Table[[#This Row],[elements_shelters]:[elements_restspots]])</f>
        <v>12</v>
      </c>
      <c r="Z76">
        <v>2</v>
      </c>
      <c r="AA76">
        <v>3</v>
      </c>
      <c r="AB76">
        <v>1</v>
      </c>
      <c r="AC76">
        <v>4</v>
      </c>
      <c r="AD76">
        <v>8</v>
      </c>
      <c r="AE76">
        <v>7</v>
      </c>
      <c r="AF76">
        <v>6</v>
      </c>
      <c r="AG76">
        <v>5</v>
      </c>
      <c r="AH76">
        <f>COUNTA(OfficeForms.Table[[#This Row],[pnuw_walktrails]:[pnuw_restspots]])</f>
        <v>8</v>
      </c>
      <c r="AI76" s="4" t="s">
        <v>117</v>
      </c>
      <c r="AJ76" s="4" t="s">
        <v>80</v>
      </c>
      <c r="AK76" s="4" t="s">
        <v>60</v>
      </c>
      <c r="AL76" s="4"/>
      <c r="AM76" s="4"/>
      <c r="AN76" s="4"/>
      <c r="AO76" s="4"/>
      <c r="AP76" s="4"/>
      <c r="AQ76" s="4"/>
      <c r="AR76" s="4"/>
      <c r="AS76" s="4"/>
      <c r="AT76" s="4" t="s">
        <v>63</v>
      </c>
      <c r="AU76" s="4" t="s">
        <v>73</v>
      </c>
      <c r="AV76" s="4" t="s">
        <v>125</v>
      </c>
      <c r="AW76" s="4" t="s">
        <v>66</v>
      </c>
      <c r="AX76" s="4" t="s">
        <v>67</v>
      </c>
      <c r="AY76" s="5"/>
    </row>
    <row r="77" spans="1:51" hidden="1" x14ac:dyDescent="0.3">
      <c r="A77">
        <v>76</v>
      </c>
      <c r="B77" s="3">
        <v>45884.526631944398</v>
      </c>
      <c r="C77" s="3">
        <v>45884.528009259302</v>
      </c>
      <c r="D77" s="4" t="s">
        <v>49</v>
      </c>
      <c r="E77" s="4" t="s">
        <v>50</v>
      </c>
      <c r="F77" s="5" t="s">
        <v>286</v>
      </c>
      <c r="G77" s="4" t="s">
        <v>132</v>
      </c>
      <c r="H77" s="2">
        <v>45846</v>
      </c>
      <c r="I77" s="4" t="s">
        <v>53</v>
      </c>
      <c r="J77" s="4" t="s">
        <v>54</v>
      </c>
      <c r="K77" s="4" t="s">
        <v>287</v>
      </c>
      <c r="L77" s="4" t="s">
        <v>56</v>
      </c>
      <c r="M77">
        <v>3</v>
      </c>
      <c r="N77">
        <v>2</v>
      </c>
      <c r="O77">
        <v>4</v>
      </c>
      <c r="P77">
        <v>1</v>
      </c>
      <c r="Q77">
        <v>10</v>
      </c>
      <c r="R77">
        <v>5</v>
      </c>
      <c r="S77">
        <v>7</v>
      </c>
      <c r="T77">
        <v>8</v>
      </c>
      <c r="U77">
        <v>12</v>
      </c>
      <c r="V77">
        <v>9</v>
      </c>
      <c r="W77">
        <v>11</v>
      </c>
      <c r="X77">
        <v>6</v>
      </c>
      <c r="Y77">
        <f>COUNTA(OfficeForms.Table[[#This Row],[elements_shelters]:[elements_restspots]])</f>
        <v>12</v>
      </c>
      <c r="Z77">
        <v>2</v>
      </c>
      <c r="AA77">
        <v>7</v>
      </c>
      <c r="AB77">
        <v>1</v>
      </c>
      <c r="AC77">
        <v>4</v>
      </c>
      <c r="AD77">
        <v>5</v>
      </c>
      <c r="AE77">
        <v>6</v>
      </c>
      <c r="AF77">
        <v>8</v>
      </c>
      <c r="AG77">
        <v>3</v>
      </c>
      <c r="AH77">
        <f>COUNTA(OfficeForms.Table[[#This Row],[pnuw_walktrails]:[pnuw_restspots]])</f>
        <v>8</v>
      </c>
      <c r="AI77" s="4" t="s">
        <v>117</v>
      </c>
      <c r="AJ77" s="4" t="s">
        <v>80</v>
      </c>
      <c r="AK77" s="4" t="s">
        <v>60</v>
      </c>
      <c r="AL77" s="4"/>
      <c r="AM77" s="4"/>
      <c r="AN77" s="4"/>
      <c r="AO77" s="4"/>
      <c r="AP77" s="4"/>
      <c r="AQ77" s="4"/>
      <c r="AR77" s="4"/>
      <c r="AS77" s="4"/>
      <c r="AT77" s="4" t="s">
        <v>81</v>
      </c>
      <c r="AU77" s="4" t="s">
        <v>73</v>
      </c>
      <c r="AV77" s="4" t="s">
        <v>125</v>
      </c>
      <c r="AW77" s="4" t="s">
        <v>148</v>
      </c>
      <c r="AX77" s="4" t="s">
        <v>67</v>
      </c>
      <c r="AY77" s="5"/>
    </row>
    <row r="78" spans="1:51" hidden="1" x14ac:dyDescent="0.3">
      <c r="A78">
        <v>77</v>
      </c>
      <c r="B78" s="3">
        <v>45884.528124999997</v>
      </c>
      <c r="C78" s="3">
        <v>45884.530254629601</v>
      </c>
      <c r="D78" s="4" t="s">
        <v>49</v>
      </c>
      <c r="E78" s="4" t="s">
        <v>50</v>
      </c>
      <c r="F78" s="5" t="s">
        <v>288</v>
      </c>
      <c r="G78" s="4" t="s">
        <v>52</v>
      </c>
      <c r="H78" s="2">
        <v>45848</v>
      </c>
      <c r="I78" s="4" t="s">
        <v>53</v>
      </c>
      <c r="J78" s="4" t="s">
        <v>54</v>
      </c>
      <c r="K78" s="4" t="s">
        <v>78</v>
      </c>
      <c r="L78" s="4" t="s">
        <v>86</v>
      </c>
      <c r="M78">
        <v>11</v>
      </c>
      <c r="N78">
        <v>1</v>
      </c>
      <c r="O78">
        <v>2</v>
      </c>
      <c r="P78">
        <v>6</v>
      </c>
      <c r="Q78">
        <v>12</v>
      </c>
      <c r="R78">
        <v>5</v>
      </c>
      <c r="S78">
        <v>10</v>
      </c>
      <c r="T78">
        <v>9</v>
      </c>
      <c r="U78">
        <v>8</v>
      </c>
      <c r="V78">
        <v>7</v>
      </c>
      <c r="W78">
        <v>4</v>
      </c>
      <c r="X78">
        <v>3</v>
      </c>
      <c r="Y78">
        <f>COUNTA(OfficeForms.Table[[#This Row],[elements_shelters]:[elements_restspots]])</f>
        <v>12</v>
      </c>
      <c r="AH78">
        <f>COUNTA(OfficeForms.Table[[#This Row],[pnuw_walktrails]:[pnuw_restspots]])</f>
        <v>0</v>
      </c>
      <c r="AI78" s="4" t="s">
        <v>289</v>
      </c>
      <c r="AJ78" s="4" t="s">
        <v>88</v>
      </c>
      <c r="AK78" s="4" t="s">
        <v>59</v>
      </c>
      <c r="AL78" s="4" t="s">
        <v>60</v>
      </c>
      <c r="AM78" s="4"/>
      <c r="AN78" s="4" t="s">
        <v>61</v>
      </c>
      <c r="AO78" s="4"/>
      <c r="AP78" s="4" t="s">
        <v>59</v>
      </c>
      <c r="AQ78" s="4" t="s">
        <v>290</v>
      </c>
      <c r="AR78" s="4" t="s">
        <v>61</v>
      </c>
      <c r="AS78" s="4"/>
      <c r="AT78" s="4" t="s">
        <v>63</v>
      </c>
      <c r="AU78" s="4" t="s">
        <v>73</v>
      </c>
      <c r="AV78" s="4" t="s">
        <v>82</v>
      </c>
      <c r="AW78" s="4" t="s">
        <v>291</v>
      </c>
      <c r="AX78" s="4" t="s">
        <v>291</v>
      </c>
      <c r="AY78" s="5"/>
    </row>
    <row r="79" spans="1:51" hidden="1" x14ac:dyDescent="0.3">
      <c r="A79">
        <v>78</v>
      </c>
      <c r="B79" s="3">
        <v>45884.530312499999</v>
      </c>
      <c r="C79" s="3">
        <v>45884.534675925897</v>
      </c>
      <c r="D79" s="4" t="s">
        <v>49</v>
      </c>
      <c r="E79" s="4" t="s">
        <v>50</v>
      </c>
      <c r="F79" s="5" t="s">
        <v>292</v>
      </c>
      <c r="G79" s="4" t="s">
        <v>52</v>
      </c>
      <c r="H79" s="2">
        <v>45848</v>
      </c>
      <c r="I79" s="4" t="s">
        <v>53</v>
      </c>
      <c r="J79" s="4" t="s">
        <v>54</v>
      </c>
      <c r="K79" s="4" t="s">
        <v>78</v>
      </c>
      <c r="L79" s="4" t="s">
        <v>56</v>
      </c>
      <c r="Y79">
        <f>COUNTA(OfficeForms.Table[[#This Row],[elements_shelters]:[elements_restspots]])</f>
        <v>0</v>
      </c>
      <c r="AH79">
        <f>COUNTA(OfficeForms.Table[[#This Row],[pnuw_walktrails]:[pnuw_restspots]])</f>
        <v>0</v>
      </c>
      <c r="AI79" s="4" t="s">
        <v>293</v>
      </c>
      <c r="AJ79" s="4" t="s">
        <v>88</v>
      </c>
      <c r="AK79" s="4" t="s">
        <v>59</v>
      </c>
      <c r="AL79" s="4" t="s">
        <v>60</v>
      </c>
      <c r="AM79" s="4"/>
      <c r="AN79" s="4" t="s">
        <v>61</v>
      </c>
      <c r="AO79" s="4"/>
      <c r="AP79" s="4" t="s">
        <v>59</v>
      </c>
      <c r="AQ79" s="4" t="s">
        <v>251</v>
      </c>
      <c r="AR79" s="4" t="s">
        <v>61</v>
      </c>
      <c r="AS79" s="4"/>
      <c r="AT79" s="4" t="s">
        <v>81</v>
      </c>
      <c r="AU79" s="4" t="s">
        <v>64</v>
      </c>
      <c r="AV79" s="4" t="s">
        <v>82</v>
      </c>
      <c r="AW79" s="4" t="s">
        <v>291</v>
      </c>
      <c r="AX79" s="4" t="s">
        <v>291</v>
      </c>
      <c r="AY79" s="5"/>
    </row>
    <row r="80" spans="1:51" hidden="1" x14ac:dyDescent="0.3">
      <c r="A80">
        <v>79</v>
      </c>
      <c r="B80" s="3">
        <v>45884.534768518497</v>
      </c>
      <c r="C80" s="3">
        <v>45884.536388888897</v>
      </c>
      <c r="D80" s="4" t="s">
        <v>49</v>
      </c>
      <c r="E80" s="4" t="s">
        <v>50</v>
      </c>
      <c r="F80" s="5" t="s">
        <v>294</v>
      </c>
      <c r="G80" s="4" t="s">
        <v>52</v>
      </c>
      <c r="H80" s="2">
        <v>45848</v>
      </c>
      <c r="I80" s="4" t="s">
        <v>53</v>
      </c>
      <c r="J80" s="4" t="s">
        <v>85</v>
      </c>
      <c r="K80" s="4" t="s">
        <v>78</v>
      </c>
      <c r="L80" s="4" t="s">
        <v>56</v>
      </c>
      <c r="M80">
        <v>11</v>
      </c>
      <c r="N80">
        <v>4</v>
      </c>
      <c r="O80">
        <v>5</v>
      </c>
      <c r="P80">
        <v>6</v>
      </c>
      <c r="Q80">
        <v>10</v>
      </c>
      <c r="R80">
        <v>9</v>
      </c>
      <c r="S80">
        <v>1</v>
      </c>
      <c r="T80">
        <v>3</v>
      </c>
      <c r="U80">
        <v>2</v>
      </c>
      <c r="V80">
        <v>12</v>
      </c>
      <c r="W80">
        <v>8</v>
      </c>
      <c r="X80">
        <v>7</v>
      </c>
      <c r="Y80">
        <f>COUNTA(OfficeForms.Table[[#This Row],[elements_shelters]:[elements_restspots]])</f>
        <v>12</v>
      </c>
      <c r="Z80">
        <v>1</v>
      </c>
      <c r="AA80">
        <v>4</v>
      </c>
      <c r="AB80">
        <v>6</v>
      </c>
      <c r="AC80">
        <v>3</v>
      </c>
      <c r="AD80">
        <v>5</v>
      </c>
      <c r="AE80">
        <v>8</v>
      </c>
      <c r="AF80">
        <v>2</v>
      </c>
      <c r="AG80">
        <v>7</v>
      </c>
      <c r="AH80">
        <f>COUNTA(OfficeForms.Table[[#This Row],[pnuw_walktrails]:[pnuw_restspots]])</f>
        <v>8</v>
      </c>
      <c r="AI80" s="4" t="s">
        <v>295</v>
      </c>
      <c r="AJ80" s="4" t="s">
        <v>88</v>
      </c>
      <c r="AK80" s="4" t="s">
        <v>60</v>
      </c>
      <c r="AL80" s="4"/>
      <c r="AM80" s="4"/>
      <c r="AN80" s="4"/>
      <c r="AO80" s="4"/>
      <c r="AP80" s="4"/>
      <c r="AQ80" s="4"/>
      <c r="AR80" s="4"/>
      <c r="AS80" s="4"/>
      <c r="AT80" s="4" t="s">
        <v>63</v>
      </c>
      <c r="AU80" s="4" t="s">
        <v>64</v>
      </c>
      <c r="AV80" s="4" t="s">
        <v>65</v>
      </c>
      <c r="AW80" s="4" t="s">
        <v>95</v>
      </c>
      <c r="AX80" s="4" t="s">
        <v>95</v>
      </c>
      <c r="AY80" s="5"/>
    </row>
    <row r="81" spans="1:51" hidden="1" x14ac:dyDescent="0.3">
      <c r="A81">
        <v>80</v>
      </c>
      <c r="B81" s="3">
        <v>45884.536412037</v>
      </c>
      <c r="C81" s="3">
        <v>45884.537708333301</v>
      </c>
      <c r="D81" s="4" t="s">
        <v>49</v>
      </c>
      <c r="E81" s="4" t="s">
        <v>50</v>
      </c>
      <c r="F81" s="5" t="s">
        <v>296</v>
      </c>
      <c r="G81" s="4" t="s">
        <v>52</v>
      </c>
      <c r="H81" s="2">
        <v>45848</v>
      </c>
      <c r="I81" s="4" t="s">
        <v>53</v>
      </c>
      <c r="J81" s="4" t="s">
        <v>85</v>
      </c>
      <c r="K81" s="4" t="s">
        <v>55</v>
      </c>
      <c r="L81" s="4" t="s">
        <v>56</v>
      </c>
      <c r="M81">
        <v>8</v>
      </c>
      <c r="N81">
        <v>1</v>
      </c>
      <c r="O81">
        <v>7</v>
      </c>
      <c r="P81">
        <v>10</v>
      </c>
      <c r="Q81">
        <v>12</v>
      </c>
      <c r="R81">
        <v>4</v>
      </c>
      <c r="S81">
        <v>2</v>
      </c>
      <c r="T81">
        <v>11</v>
      </c>
      <c r="U81">
        <v>3</v>
      </c>
      <c r="V81">
        <v>9</v>
      </c>
      <c r="W81">
        <v>5</v>
      </c>
      <c r="X81">
        <v>6</v>
      </c>
      <c r="Y81">
        <f>COUNTA(OfficeForms.Table[[#This Row],[elements_shelters]:[elements_restspots]])</f>
        <v>12</v>
      </c>
      <c r="Z81">
        <v>1</v>
      </c>
      <c r="AA81">
        <v>2</v>
      </c>
      <c r="AB81">
        <v>7</v>
      </c>
      <c r="AC81">
        <v>3</v>
      </c>
      <c r="AD81">
        <v>4</v>
      </c>
      <c r="AE81">
        <v>8</v>
      </c>
      <c r="AF81">
        <v>5</v>
      </c>
      <c r="AG81">
        <v>6</v>
      </c>
      <c r="AH81">
        <f>COUNTA(OfficeForms.Table[[#This Row],[pnuw_walktrails]:[pnuw_restspots]])</f>
        <v>8</v>
      </c>
      <c r="AI81" s="4" t="s">
        <v>297</v>
      </c>
      <c r="AJ81" s="4" t="s">
        <v>88</v>
      </c>
      <c r="AK81" s="4" t="s">
        <v>60</v>
      </c>
      <c r="AL81" s="4"/>
      <c r="AM81" s="4"/>
      <c r="AN81" s="4"/>
      <c r="AO81" s="4"/>
      <c r="AP81" s="4"/>
      <c r="AQ81" s="4"/>
      <c r="AR81" s="4"/>
      <c r="AS81" s="4"/>
      <c r="AT81" s="4" t="s">
        <v>63</v>
      </c>
      <c r="AU81" s="4" t="s">
        <v>73</v>
      </c>
      <c r="AV81" s="4" t="s">
        <v>82</v>
      </c>
      <c r="AW81" s="4" t="s">
        <v>298</v>
      </c>
      <c r="AX81" s="4" t="s">
        <v>298</v>
      </c>
      <c r="AY81" s="5"/>
    </row>
    <row r="82" spans="1:51" hidden="1" x14ac:dyDescent="0.3">
      <c r="A82">
        <v>81</v>
      </c>
      <c r="B82" s="3">
        <v>45884.537824074097</v>
      </c>
      <c r="C82" s="3">
        <v>45884.538807870398</v>
      </c>
      <c r="D82" s="4" t="s">
        <v>49</v>
      </c>
      <c r="E82" s="4" t="s">
        <v>50</v>
      </c>
      <c r="F82" s="5" t="s">
        <v>299</v>
      </c>
      <c r="G82" s="4" t="s">
        <v>52</v>
      </c>
      <c r="H82" s="2">
        <v>45848</v>
      </c>
      <c r="I82" s="4" t="s">
        <v>53</v>
      </c>
      <c r="J82" s="4" t="s">
        <v>85</v>
      </c>
      <c r="K82" s="4" t="s">
        <v>55</v>
      </c>
      <c r="L82" s="4" t="s">
        <v>56</v>
      </c>
      <c r="M82">
        <v>7</v>
      </c>
      <c r="N82">
        <v>2</v>
      </c>
      <c r="O82">
        <v>6</v>
      </c>
      <c r="P82">
        <v>11</v>
      </c>
      <c r="Q82">
        <v>12</v>
      </c>
      <c r="R82">
        <v>4</v>
      </c>
      <c r="S82">
        <v>1</v>
      </c>
      <c r="T82">
        <v>10</v>
      </c>
      <c r="U82">
        <v>8</v>
      </c>
      <c r="V82">
        <v>9</v>
      </c>
      <c r="W82">
        <v>5</v>
      </c>
      <c r="X82">
        <v>3</v>
      </c>
      <c r="Y82">
        <f>COUNTA(OfficeForms.Table[[#This Row],[elements_shelters]:[elements_restspots]])</f>
        <v>12</v>
      </c>
      <c r="Z82">
        <v>2</v>
      </c>
      <c r="AA82">
        <v>7</v>
      </c>
      <c r="AB82">
        <v>6</v>
      </c>
      <c r="AC82">
        <v>3</v>
      </c>
      <c r="AD82">
        <v>1</v>
      </c>
      <c r="AE82">
        <v>7</v>
      </c>
      <c r="AF82">
        <v>5</v>
      </c>
      <c r="AG82">
        <v>4</v>
      </c>
      <c r="AH82">
        <f>COUNTA(OfficeForms.Table[[#This Row],[pnuw_walktrails]:[pnuw_restspots]])</f>
        <v>8</v>
      </c>
      <c r="AI82" s="4" t="s">
        <v>117</v>
      </c>
      <c r="AJ82" s="4" t="s">
        <v>72</v>
      </c>
      <c r="AK82" s="4" t="s">
        <v>60</v>
      </c>
      <c r="AL82" s="4"/>
      <c r="AM82" s="4"/>
      <c r="AN82" s="4"/>
      <c r="AO82" s="4"/>
      <c r="AP82" s="4"/>
      <c r="AQ82" s="4"/>
      <c r="AR82" s="4"/>
      <c r="AS82" s="4"/>
      <c r="AT82" s="4" t="s">
        <v>81</v>
      </c>
      <c r="AU82" s="4" t="s">
        <v>73</v>
      </c>
      <c r="AV82" s="4" t="s">
        <v>74</v>
      </c>
      <c r="AW82" s="4" t="s">
        <v>298</v>
      </c>
      <c r="AX82" s="4" t="s">
        <v>298</v>
      </c>
      <c r="AY82" s="5"/>
    </row>
    <row r="83" spans="1:51" hidden="1" x14ac:dyDescent="0.3">
      <c r="A83">
        <v>82</v>
      </c>
      <c r="B83" s="3">
        <v>45884.539363425902</v>
      </c>
      <c r="C83" s="3">
        <v>45884.5406365741</v>
      </c>
      <c r="D83" s="4" t="s">
        <v>49</v>
      </c>
      <c r="E83" s="4" t="s">
        <v>50</v>
      </c>
      <c r="F83" s="5" t="s">
        <v>300</v>
      </c>
      <c r="G83" s="4" t="s">
        <v>52</v>
      </c>
      <c r="H83" s="2">
        <v>45848</v>
      </c>
      <c r="I83" s="4" t="s">
        <v>53</v>
      </c>
      <c r="J83" s="4" t="s">
        <v>54</v>
      </c>
      <c r="K83" s="4" t="s">
        <v>78</v>
      </c>
      <c r="L83" s="4" t="s">
        <v>86</v>
      </c>
      <c r="M83">
        <v>10</v>
      </c>
      <c r="N83">
        <v>4</v>
      </c>
      <c r="O83">
        <v>3</v>
      </c>
      <c r="P83">
        <v>2</v>
      </c>
      <c r="Q83">
        <v>11</v>
      </c>
      <c r="R83">
        <v>5</v>
      </c>
      <c r="S83">
        <v>7</v>
      </c>
      <c r="T83">
        <v>8</v>
      </c>
      <c r="U83">
        <v>9</v>
      </c>
      <c r="V83">
        <v>12</v>
      </c>
      <c r="W83">
        <v>1</v>
      </c>
      <c r="X83">
        <v>6</v>
      </c>
      <c r="Y83">
        <f>COUNTA(OfficeForms.Table[[#This Row],[elements_shelters]:[elements_restspots]])</f>
        <v>12</v>
      </c>
      <c r="Z83">
        <v>1</v>
      </c>
      <c r="AA83">
        <v>2</v>
      </c>
      <c r="AB83">
        <v>3</v>
      </c>
      <c r="AC83">
        <v>4</v>
      </c>
      <c r="AD83">
        <v>5</v>
      </c>
      <c r="AE83">
        <v>6</v>
      </c>
      <c r="AF83">
        <v>7</v>
      </c>
      <c r="AG83">
        <v>8</v>
      </c>
      <c r="AH83">
        <f>COUNTA(OfficeForms.Table[[#This Row],[pnuw_walktrails]:[pnuw_restspots]])</f>
        <v>8</v>
      </c>
      <c r="AI83" s="4" t="s">
        <v>117</v>
      </c>
      <c r="AJ83" s="4" t="s">
        <v>80</v>
      </c>
      <c r="AK83" s="4" t="s">
        <v>60</v>
      </c>
      <c r="AL83" s="4"/>
      <c r="AM83" s="4"/>
      <c r="AN83" s="4"/>
      <c r="AO83" s="4"/>
      <c r="AP83" s="4"/>
      <c r="AQ83" s="4"/>
      <c r="AR83" s="4"/>
      <c r="AS83" s="4"/>
      <c r="AT83" s="4" t="s">
        <v>63</v>
      </c>
      <c r="AU83" s="4" t="s">
        <v>73</v>
      </c>
      <c r="AV83" s="4" t="s">
        <v>74</v>
      </c>
      <c r="AW83" s="4" t="s">
        <v>301</v>
      </c>
      <c r="AX83" s="4" t="s">
        <v>302</v>
      </c>
      <c r="AY83" s="5"/>
    </row>
    <row r="84" spans="1:51" hidden="1" x14ac:dyDescent="0.3">
      <c r="A84">
        <v>83</v>
      </c>
      <c r="B84" s="3">
        <v>45884.6192592593</v>
      </c>
      <c r="C84" s="3">
        <v>45884.619328703702</v>
      </c>
      <c r="D84" s="4" t="s">
        <v>49</v>
      </c>
      <c r="E84" s="4" t="s">
        <v>50</v>
      </c>
      <c r="F84" s="5" t="s">
        <v>303</v>
      </c>
      <c r="G84" s="4" t="s">
        <v>52</v>
      </c>
      <c r="H84" s="2">
        <v>45848</v>
      </c>
      <c r="I84" s="4" t="s">
        <v>53</v>
      </c>
      <c r="J84" s="4" t="s">
        <v>54</v>
      </c>
      <c r="K84" s="4" t="s">
        <v>78</v>
      </c>
      <c r="L84" s="4" t="s">
        <v>56</v>
      </c>
      <c r="Y84">
        <f>COUNTA(OfficeForms.Table[[#This Row],[elements_shelters]:[elements_restspots]])</f>
        <v>0</v>
      </c>
      <c r="Z84">
        <v>6</v>
      </c>
      <c r="AA84">
        <v>4</v>
      </c>
      <c r="AB84">
        <v>5</v>
      </c>
      <c r="AC84">
        <v>2</v>
      </c>
      <c r="AD84">
        <v>4</v>
      </c>
      <c r="AE84">
        <v>8</v>
      </c>
      <c r="AF84">
        <v>3</v>
      </c>
      <c r="AG84">
        <v>1</v>
      </c>
      <c r="AH84">
        <f>COUNTA(OfficeForms.Table[[#This Row],[pnuw_walktrails]:[pnuw_restspots]])</f>
        <v>8</v>
      </c>
      <c r="AI84" s="4" t="s">
        <v>117</v>
      </c>
      <c r="AJ84" s="4" t="s">
        <v>88</v>
      </c>
      <c r="AK84" s="4" t="s">
        <v>60</v>
      </c>
      <c r="AL84" s="4"/>
      <c r="AM84" s="4"/>
      <c r="AN84" s="4"/>
      <c r="AO84" s="4"/>
      <c r="AP84" s="4"/>
      <c r="AQ84" s="4"/>
      <c r="AR84" s="4"/>
      <c r="AS84" s="4"/>
      <c r="AT84" s="4" t="s">
        <v>81</v>
      </c>
      <c r="AU84" s="4" t="s">
        <v>73</v>
      </c>
      <c r="AV84" s="4" t="s">
        <v>74</v>
      </c>
      <c r="AW84" s="4" t="s">
        <v>301</v>
      </c>
      <c r="AX84" s="4" t="s">
        <v>302</v>
      </c>
      <c r="AY84" s="5"/>
    </row>
    <row r="85" spans="1:51" hidden="1" x14ac:dyDescent="0.3">
      <c r="A85">
        <v>84</v>
      </c>
      <c r="B85" s="3">
        <v>45885.426018518498</v>
      </c>
      <c r="C85" s="3">
        <v>45885.427939814799</v>
      </c>
      <c r="D85" s="4" t="s">
        <v>49</v>
      </c>
      <c r="E85" s="4" t="s">
        <v>50</v>
      </c>
      <c r="F85" s="5" t="s">
        <v>304</v>
      </c>
      <c r="G85" s="4" t="s">
        <v>52</v>
      </c>
      <c r="H85" s="2">
        <v>45849</v>
      </c>
      <c r="I85" s="4" t="s">
        <v>53</v>
      </c>
      <c r="J85" s="4" t="s">
        <v>54</v>
      </c>
      <c r="K85" s="4" t="s">
        <v>78</v>
      </c>
      <c r="L85" s="4" t="s">
        <v>56</v>
      </c>
      <c r="M85">
        <v>6</v>
      </c>
      <c r="N85">
        <v>1</v>
      </c>
      <c r="O85">
        <v>2</v>
      </c>
      <c r="P85">
        <v>3</v>
      </c>
      <c r="Q85">
        <v>4</v>
      </c>
      <c r="R85">
        <v>5</v>
      </c>
      <c r="S85">
        <v>7</v>
      </c>
      <c r="T85">
        <v>9</v>
      </c>
      <c r="U85">
        <v>10</v>
      </c>
      <c r="V85">
        <v>8</v>
      </c>
      <c r="W85">
        <v>11</v>
      </c>
      <c r="X85">
        <v>12</v>
      </c>
      <c r="Y85">
        <f>COUNTA(OfficeForms.Table[[#This Row],[elements_shelters]:[elements_restspots]])</f>
        <v>12</v>
      </c>
      <c r="Z85">
        <v>8</v>
      </c>
      <c r="AA85">
        <v>6</v>
      </c>
      <c r="AB85">
        <v>1</v>
      </c>
      <c r="AC85">
        <v>7</v>
      </c>
      <c r="AD85">
        <v>4</v>
      </c>
      <c r="AE85">
        <v>2</v>
      </c>
      <c r="AF85">
        <v>5</v>
      </c>
      <c r="AG85">
        <v>6</v>
      </c>
      <c r="AH85">
        <f>COUNTA(OfficeForms.Table[[#This Row],[pnuw_walktrails]:[pnuw_restspots]])</f>
        <v>8</v>
      </c>
      <c r="AI85" s="4" t="s">
        <v>117</v>
      </c>
      <c r="AJ85" s="4" t="s">
        <v>88</v>
      </c>
      <c r="AK85" s="4" t="s">
        <v>60</v>
      </c>
      <c r="AL85" s="4"/>
      <c r="AM85" s="4"/>
      <c r="AN85" s="4"/>
      <c r="AO85" s="4"/>
      <c r="AP85" s="4"/>
      <c r="AQ85" s="4"/>
      <c r="AR85" s="4"/>
      <c r="AS85" s="4"/>
      <c r="AT85" s="4" t="s">
        <v>81</v>
      </c>
      <c r="AU85" s="4" t="s">
        <v>73</v>
      </c>
      <c r="AV85" s="4" t="s">
        <v>99</v>
      </c>
      <c r="AW85" s="4" t="s">
        <v>305</v>
      </c>
      <c r="AX85" s="4" t="s">
        <v>306</v>
      </c>
      <c r="AY85" s="5"/>
    </row>
    <row r="86" spans="1:51" hidden="1" x14ac:dyDescent="0.3">
      <c r="A86">
        <v>85</v>
      </c>
      <c r="B86" s="3">
        <v>45885.4280671296</v>
      </c>
      <c r="C86" s="3">
        <v>45885.429513888899</v>
      </c>
      <c r="D86" s="4" t="s">
        <v>49</v>
      </c>
      <c r="E86" s="4" t="s">
        <v>50</v>
      </c>
      <c r="F86" s="5" t="s">
        <v>307</v>
      </c>
      <c r="G86" s="4" t="s">
        <v>52</v>
      </c>
      <c r="H86" s="2">
        <v>45849</v>
      </c>
      <c r="I86" s="4" t="s">
        <v>53</v>
      </c>
      <c r="J86" s="4" t="s">
        <v>85</v>
      </c>
      <c r="K86" s="4" t="s">
        <v>215</v>
      </c>
      <c r="L86" s="4" t="s">
        <v>56</v>
      </c>
      <c r="M86">
        <v>8</v>
      </c>
      <c r="N86">
        <v>6</v>
      </c>
      <c r="O86">
        <v>7</v>
      </c>
      <c r="P86">
        <v>10</v>
      </c>
      <c r="Q86">
        <v>12</v>
      </c>
      <c r="R86">
        <v>1</v>
      </c>
      <c r="S86">
        <v>4</v>
      </c>
      <c r="T86">
        <v>5</v>
      </c>
      <c r="U86">
        <v>9</v>
      </c>
      <c r="V86">
        <v>11</v>
      </c>
      <c r="W86">
        <v>3</v>
      </c>
      <c r="X86">
        <v>2</v>
      </c>
      <c r="Y86">
        <f>COUNTA(OfficeForms.Table[[#This Row],[elements_shelters]:[elements_restspots]])</f>
        <v>12</v>
      </c>
      <c r="Z86">
        <v>4</v>
      </c>
      <c r="AA86">
        <v>3</v>
      </c>
      <c r="AB86">
        <v>7</v>
      </c>
      <c r="AC86">
        <v>1</v>
      </c>
      <c r="AD86">
        <v>6</v>
      </c>
      <c r="AE86">
        <v>8</v>
      </c>
      <c r="AF86">
        <v>5</v>
      </c>
      <c r="AG86">
        <v>2</v>
      </c>
      <c r="AH86">
        <f>COUNTA(OfficeForms.Table[[#This Row],[pnuw_walktrails]:[pnuw_restspots]])</f>
        <v>8</v>
      </c>
      <c r="AI86" s="4" t="s">
        <v>117</v>
      </c>
      <c r="AJ86" s="4" t="s">
        <v>88</v>
      </c>
      <c r="AK86" s="4" t="s">
        <v>59</v>
      </c>
      <c r="AL86" s="4" t="s">
        <v>59</v>
      </c>
      <c r="AM86" s="4" t="s">
        <v>308</v>
      </c>
      <c r="AN86" s="4" t="s">
        <v>61</v>
      </c>
      <c r="AO86" s="4"/>
      <c r="AP86" s="4" t="s">
        <v>59</v>
      </c>
      <c r="AQ86" s="4" t="s">
        <v>309</v>
      </c>
      <c r="AR86" s="4" t="s">
        <v>61</v>
      </c>
      <c r="AS86" s="4"/>
      <c r="AT86" s="4" t="s">
        <v>81</v>
      </c>
      <c r="AU86" s="4" t="s">
        <v>73</v>
      </c>
      <c r="AV86" s="4" t="s">
        <v>74</v>
      </c>
      <c r="AW86" s="4" t="s">
        <v>310</v>
      </c>
      <c r="AX86" s="4" t="s">
        <v>311</v>
      </c>
      <c r="AY86" s="5"/>
    </row>
    <row r="87" spans="1:51" hidden="1" x14ac:dyDescent="0.3">
      <c r="A87">
        <v>86</v>
      </c>
      <c r="B87" s="3">
        <v>45885.429629629602</v>
      </c>
      <c r="C87" s="3">
        <v>45885.430787037003</v>
      </c>
      <c r="D87" s="4" t="s">
        <v>49</v>
      </c>
      <c r="E87" s="4" t="s">
        <v>50</v>
      </c>
      <c r="F87" s="5" t="s">
        <v>312</v>
      </c>
      <c r="G87" s="4" t="s">
        <v>52</v>
      </c>
      <c r="H87" s="2">
        <v>45849</v>
      </c>
      <c r="I87" s="4" t="s">
        <v>53</v>
      </c>
      <c r="J87" s="4" t="s">
        <v>69</v>
      </c>
      <c r="K87" s="4" t="s">
        <v>55</v>
      </c>
      <c r="L87" s="4" t="s">
        <v>56</v>
      </c>
      <c r="M87">
        <v>11</v>
      </c>
      <c r="N87">
        <v>2</v>
      </c>
      <c r="O87">
        <v>1</v>
      </c>
      <c r="P87">
        <v>3</v>
      </c>
      <c r="Q87">
        <v>12</v>
      </c>
      <c r="R87">
        <v>4</v>
      </c>
      <c r="S87">
        <v>5</v>
      </c>
      <c r="T87">
        <v>6</v>
      </c>
      <c r="U87">
        <v>9</v>
      </c>
      <c r="V87">
        <v>10</v>
      </c>
      <c r="W87">
        <v>7</v>
      </c>
      <c r="X87">
        <v>8</v>
      </c>
      <c r="Y87">
        <f>COUNTA(OfficeForms.Table[[#This Row],[elements_shelters]:[elements_restspots]])</f>
        <v>12</v>
      </c>
      <c r="Z87">
        <v>1</v>
      </c>
      <c r="AA87">
        <v>2</v>
      </c>
      <c r="AB87">
        <v>5</v>
      </c>
      <c r="AC87">
        <v>4</v>
      </c>
      <c r="AD87">
        <v>7</v>
      </c>
      <c r="AE87">
        <v>8</v>
      </c>
      <c r="AF87">
        <v>3</v>
      </c>
      <c r="AG87">
        <v>6</v>
      </c>
      <c r="AH87">
        <f>COUNTA(OfficeForms.Table[[#This Row],[pnuw_walktrails]:[pnuw_restspots]])</f>
        <v>8</v>
      </c>
      <c r="AI87" s="4" t="s">
        <v>313</v>
      </c>
      <c r="AJ87" s="4" t="s">
        <v>72</v>
      </c>
      <c r="AK87" s="4" t="s">
        <v>60</v>
      </c>
      <c r="AL87" s="4"/>
      <c r="AM87" s="4"/>
      <c r="AN87" s="4"/>
      <c r="AO87" s="4"/>
      <c r="AP87" s="4"/>
      <c r="AQ87" s="4"/>
      <c r="AR87" s="4"/>
      <c r="AS87" s="4"/>
      <c r="AT87" s="4" t="s">
        <v>63</v>
      </c>
      <c r="AU87" s="4" t="s">
        <v>73</v>
      </c>
      <c r="AV87" s="4" t="s">
        <v>74</v>
      </c>
      <c r="AW87" s="4" t="s">
        <v>314</v>
      </c>
      <c r="AX87" s="4" t="s">
        <v>315</v>
      </c>
      <c r="AY87" s="5"/>
    </row>
    <row r="88" spans="1:51" hidden="1" x14ac:dyDescent="0.3">
      <c r="A88">
        <v>87</v>
      </c>
      <c r="B88" s="3">
        <v>45885.430798611102</v>
      </c>
      <c r="C88" s="3">
        <v>45885.432199074101</v>
      </c>
      <c r="D88" s="4" t="s">
        <v>49</v>
      </c>
      <c r="E88" s="4" t="s">
        <v>50</v>
      </c>
      <c r="F88" s="5" t="s">
        <v>316</v>
      </c>
      <c r="G88" s="4" t="s">
        <v>52</v>
      </c>
      <c r="H88" s="2">
        <v>45849</v>
      </c>
      <c r="I88" s="4" t="s">
        <v>53</v>
      </c>
      <c r="J88" s="4" t="s">
        <v>69</v>
      </c>
      <c r="K88" s="4" t="s">
        <v>55</v>
      </c>
      <c r="L88" s="4" t="s">
        <v>56</v>
      </c>
      <c r="M88">
        <v>7</v>
      </c>
      <c r="N88">
        <v>6</v>
      </c>
      <c r="O88">
        <v>11</v>
      </c>
      <c r="P88">
        <v>5</v>
      </c>
      <c r="Q88">
        <v>12</v>
      </c>
      <c r="R88">
        <v>4</v>
      </c>
      <c r="S88">
        <v>1</v>
      </c>
      <c r="T88">
        <v>9</v>
      </c>
      <c r="U88">
        <v>2</v>
      </c>
      <c r="V88">
        <v>10</v>
      </c>
      <c r="W88">
        <v>8</v>
      </c>
      <c r="X88">
        <v>3</v>
      </c>
      <c r="Y88">
        <f>COUNTA(OfficeForms.Table[[#This Row],[elements_shelters]:[elements_restspots]])</f>
        <v>12</v>
      </c>
      <c r="Z88">
        <v>2</v>
      </c>
      <c r="AA88">
        <v>3</v>
      </c>
      <c r="AB88">
        <v>5</v>
      </c>
      <c r="AC88">
        <v>4</v>
      </c>
      <c r="AD88">
        <v>7</v>
      </c>
      <c r="AE88">
        <v>8</v>
      </c>
      <c r="AF88">
        <v>1</v>
      </c>
      <c r="AG88">
        <v>6</v>
      </c>
      <c r="AH88">
        <f>COUNTA(OfficeForms.Table[[#This Row],[pnuw_walktrails]:[pnuw_restspots]])</f>
        <v>8</v>
      </c>
      <c r="AI88" s="4" t="s">
        <v>117</v>
      </c>
      <c r="AJ88" s="4" t="s">
        <v>88</v>
      </c>
      <c r="AK88" s="4" t="s">
        <v>60</v>
      </c>
      <c r="AL88" s="4"/>
      <c r="AM88" s="4"/>
      <c r="AN88" s="4"/>
      <c r="AO88" s="4"/>
      <c r="AP88" s="4"/>
      <c r="AQ88" s="4"/>
      <c r="AR88" s="4"/>
      <c r="AS88" s="4"/>
      <c r="AT88" s="4" t="s">
        <v>81</v>
      </c>
      <c r="AU88" s="4" t="s">
        <v>64</v>
      </c>
      <c r="AV88" s="4" t="s">
        <v>65</v>
      </c>
      <c r="AW88" s="4" t="s">
        <v>314</v>
      </c>
      <c r="AX88" s="4" t="s">
        <v>315</v>
      </c>
      <c r="AY88" s="5"/>
    </row>
    <row r="89" spans="1:51" hidden="1" x14ac:dyDescent="0.3">
      <c r="A89">
        <v>88</v>
      </c>
      <c r="B89" s="3">
        <v>45885.432291666701</v>
      </c>
      <c r="C89" s="3">
        <v>45885.433796296304</v>
      </c>
      <c r="D89" s="4" t="s">
        <v>49</v>
      </c>
      <c r="E89" s="4" t="s">
        <v>50</v>
      </c>
      <c r="F89" s="5" t="s">
        <v>317</v>
      </c>
      <c r="G89" s="4" t="s">
        <v>52</v>
      </c>
      <c r="H89" s="2">
        <v>45849</v>
      </c>
      <c r="I89" s="4" t="s">
        <v>53</v>
      </c>
      <c r="J89" s="4" t="s">
        <v>69</v>
      </c>
      <c r="K89" s="4" t="s">
        <v>215</v>
      </c>
      <c r="L89" s="4" t="s">
        <v>56</v>
      </c>
      <c r="M89">
        <v>9</v>
      </c>
      <c r="N89">
        <v>1</v>
      </c>
      <c r="O89">
        <v>5</v>
      </c>
      <c r="P89">
        <v>8</v>
      </c>
      <c r="Q89">
        <v>12</v>
      </c>
      <c r="R89">
        <v>2</v>
      </c>
      <c r="S89">
        <v>3</v>
      </c>
      <c r="T89">
        <v>10</v>
      </c>
      <c r="U89">
        <v>7</v>
      </c>
      <c r="V89">
        <v>11</v>
      </c>
      <c r="W89">
        <v>4</v>
      </c>
      <c r="X89">
        <v>6</v>
      </c>
      <c r="Y89">
        <f>COUNTA(OfficeForms.Table[[#This Row],[elements_shelters]:[elements_restspots]])</f>
        <v>12</v>
      </c>
      <c r="Z89">
        <v>1</v>
      </c>
      <c r="AA89">
        <v>5</v>
      </c>
      <c r="AB89">
        <v>7</v>
      </c>
      <c r="AC89">
        <v>2</v>
      </c>
      <c r="AD89">
        <v>4</v>
      </c>
      <c r="AE89">
        <v>8</v>
      </c>
      <c r="AF89">
        <v>3</v>
      </c>
      <c r="AG89">
        <v>6</v>
      </c>
      <c r="AH89">
        <f>COUNTA(OfficeForms.Table[[#This Row],[pnuw_walktrails]:[pnuw_restspots]])</f>
        <v>8</v>
      </c>
      <c r="AI89" s="4" t="s">
        <v>117</v>
      </c>
      <c r="AJ89" s="4" t="s">
        <v>88</v>
      </c>
      <c r="AK89" s="4" t="s">
        <v>59</v>
      </c>
      <c r="AL89" s="4" t="s">
        <v>59</v>
      </c>
      <c r="AM89" s="4" t="s">
        <v>318</v>
      </c>
      <c r="AN89" s="4" t="s">
        <v>61</v>
      </c>
      <c r="AO89" s="4"/>
      <c r="AP89" s="4" t="s">
        <v>59</v>
      </c>
      <c r="AQ89" s="4" t="s">
        <v>273</v>
      </c>
      <c r="AR89" s="4" t="s">
        <v>61</v>
      </c>
      <c r="AS89" s="4"/>
      <c r="AT89" s="4" t="s">
        <v>63</v>
      </c>
      <c r="AU89" s="4" t="s">
        <v>73</v>
      </c>
      <c r="AV89" s="4" t="s">
        <v>74</v>
      </c>
      <c r="AW89" s="4" t="s">
        <v>144</v>
      </c>
      <c r="AX89" s="4" t="s">
        <v>67</v>
      </c>
      <c r="AY89" s="5"/>
    </row>
    <row r="90" spans="1:51" hidden="1" x14ac:dyDescent="0.3">
      <c r="A90">
        <v>89</v>
      </c>
      <c r="B90" s="3">
        <v>45885.433819444399</v>
      </c>
      <c r="C90" s="3">
        <v>45885.435856481497</v>
      </c>
      <c r="D90" s="4" t="s">
        <v>49</v>
      </c>
      <c r="E90" s="4" t="s">
        <v>50</v>
      </c>
      <c r="F90" s="5" t="s">
        <v>319</v>
      </c>
      <c r="G90" s="4" t="s">
        <v>52</v>
      </c>
      <c r="H90" s="2">
        <v>45850</v>
      </c>
      <c r="I90" s="4" t="s">
        <v>53</v>
      </c>
      <c r="J90" s="4" t="s">
        <v>85</v>
      </c>
      <c r="K90" s="4" t="s">
        <v>78</v>
      </c>
      <c r="L90" s="4" t="s">
        <v>56</v>
      </c>
      <c r="M90">
        <v>10</v>
      </c>
      <c r="N90">
        <v>1</v>
      </c>
      <c r="O90">
        <v>8</v>
      </c>
      <c r="P90">
        <v>9</v>
      </c>
      <c r="Q90">
        <v>11</v>
      </c>
      <c r="R90">
        <v>2</v>
      </c>
      <c r="S90">
        <v>3</v>
      </c>
      <c r="T90">
        <v>7</v>
      </c>
      <c r="U90">
        <v>6</v>
      </c>
      <c r="V90">
        <v>12</v>
      </c>
      <c r="W90">
        <v>4</v>
      </c>
      <c r="X90">
        <v>5</v>
      </c>
      <c r="Y90">
        <f>COUNTA(OfficeForms.Table[[#This Row],[elements_shelters]:[elements_restspots]])</f>
        <v>12</v>
      </c>
      <c r="Z90">
        <v>1</v>
      </c>
      <c r="AA90">
        <v>6</v>
      </c>
      <c r="AB90">
        <v>7</v>
      </c>
      <c r="AC90">
        <v>3</v>
      </c>
      <c r="AD90">
        <v>5</v>
      </c>
      <c r="AE90">
        <v>8</v>
      </c>
      <c r="AF90">
        <v>2</v>
      </c>
      <c r="AG90">
        <v>4</v>
      </c>
      <c r="AH90">
        <f>COUNTA(OfficeForms.Table[[#This Row],[pnuw_walktrails]:[pnuw_restspots]])</f>
        <v>8</v>
      </c>
      <c r="AI90" s="4" t="s">
        <v>117</v>
      </c>
      <c r="AJ90" s="4" t="s">
        <v>88</v>
      </c>
      <c r="AK90" s="4" t="s">
        <v>59</v>
      </c>
      <c r="AL90" s="4" t="s">
        <v>60</v>
      </c>
      <c r="AM90" s="4"/>
      <c r="AN90" s="4" t="s">
        <v>61</v>
      </c>
      <c r="AO90" s="4"/>
      <c r="AP90" s="4" t="s">
        <v>59</v>
      </c>
      <c r="AQ90" s="4" t="s">
        <v>273</v>
      </c>
      <c r="AR90" s="4" t="s">
        <v>174</v>
      </c>
      <c r="AS90" s="4" t="s">
        <v>233</v>
      </c>
      <c r="AT90" s="4" t="s">
        <v>81</v>
      </c>
      <c r="AU90" s="4" t="s">
        <v>73</v>
      </c>
      <c r="AV90" s="4" t="s">
        <v>65</v>
      </c>
      <c r="AW90" s="4" t="s">
        <v>234</v>
      </c>
      <c r="AX90" s="4" t="s">
        <v>234</v>
      </c>
      <c r="AY90" s="5"/>
    </row>
    <row r="91" spans="1:51" hidden="1" x14ac:dyDescent="0.3">
      <c r="A91">
        <v>90</v>
      </c>
      <c r="B91" s="3">
        <v>45885.435868055603</v>
      </c>
      <c r="C91" s="3">
        <v>45885.440925925897</v>
      </c>
      <c r="D91" s="4" t="s">
        <v>49</v>
      </c>
      <c r="E91" s="4" t="s">
        <v>50</v>
      </c>
      <c r="F91" s="5" t="s">
        <v>320</v>
      </c>
      <c r="G91" s="4" t="s">
        <v>52</v>
      </c>
      <c r="H91" s="2">
        <v>45850</v>
      </c>
      <c r="I91" s="4" t="s">
        <v>53</v>
      </c>
      <c r="J91" s="4" t="s">
        <v>85</v>
      </c>
      <c r="K91" s="4" t="s">
        <v>78</v>
      </c>
      <c r="L91" s="4" t="s">
        <v>56</v>
      </c>
      <c r="M91">
        <v>9</v>
      </c>
      <c r="N91">
        <v>1</v>
      </c>
      <c r="O91">
        <v>4</v>
      </c>
      <c r="P91">
        <v>5</v>
      </c>
      <c r="Q91">
        <v>7</v>
      </c>
      <c r="R91">
        <v>2</v>
      </c>
      <c r="S91">
        <v>6</v>
      </c>
      <c r="T91">
        <v>10</v>
      </c>
      <c r="U91">
        <v>11</v>
      </c>
      <c r="V91">
        <v>12</v>
      </c>
      <c r="W91">
        <v>3</v>
      </c>
      <c r="X91">
        <v>8</v>
      </c>
      <c r="Y91">
        <f>COUNTA(OfficeForms.Table[[#This Row],[elements_shelters]:[elements_restspots]])</f>
        <v>12</v>
      </c>
      <c r="Z91">
        <v>1</v>
      </c>
      <c r="AA91">
        <v>2</v>
      </c>
      <c r="AB91">
        <v>4</v>
      </c>
      <c r="AC91">
        <v>3</v>
      </c>
      <c r="AD91">
        <v>7</v>
      </c>
      <c r="AE91">
        <v>8</v>
      </c>
      <c r="AF91">
        <v>5</v>
      </c>
      <c r="AG91">
        <v>6</v>
      </c>
      <c r="AH91">
        <f>COUNTA(OfficeForms.Table[[#This Row],[pnuw_walktrails]:[pnuw_restspots]])</f>
        <v>8</v>
      </c>
      <c r="AI91" s="4" t="s">
        <v>321</v>
      </c>
      <c r="AJ91" s="4" t="s">
        <v>88</v>
      </c>
      <c r="AK91" s="4" t="s">
        <v>59</v>
      </c>
      <c r="AL91" s="4" t="s">
        <v>60</v>
      </c>
      <c r="AM91" s="4"/>
      <c r="AN91" s="4" t="s">
        <v>61</v>
      </c>
      <c r="AO91" s="4"/>
      <c r="AP91" s="4" t="s">
        <v>59</v>
      </c>
      <c r="AQ91" s="4" t="s">
        <v>322</v>
      </c>
      <c r="AR91" s="4" t="s">
        <v>174</v>
      </c>
      <c r="AS91" s="4" t="s">
        <v>233</v>
      </c>
      <c r="AT91" s="4" t="s">
        <v>63</v>
      </c>
      <c r="AU91" s="4" t="s">
        <v>73</v>
      </c>
      <c r="AV91" s="4" t="s">
        <v>65</v>
      </c>
      <c r="AW91" s="4" t="s">
        <v>234</v>
      </c>
      <c r="AX91" s="4" t="s">
        <v>234</v>
      </c>
      <c r="AY91" s="5"/>
    </row>
    <row r="92" spans="1:51" hidden="1" x14ac:dyDescent="0.3">
      <c r="A92">
        <v>91</v>
      </c>
      <c r="B92" s="3">
        <v>45885.440937500003</v>
      </c>
      <c r="C92" s="3">
        <v>45885.442222222198</v>
      </c>
      <c r="D92" s="4" t="s">
        <v>49</v>
      </c>
      <c r="E92" s="4" t="s">
        <v>50</v>
      </c>
      <c r="F92" s="5"/>
      <c r="G92" s="4" t="s">
        <v>52</v>
      </c>
      <c r="H92" s="2">
        <v>45850</v>
      </c>
      <c r="I92" s="4" t="s">
        <v>53</v>
      </c>
      <c r="J92" s="4" t="s">
        <v>54</v>
      </c>
      <c r="K92" s="4" t="s">
        <v>78</v>
      </c>
      <c r="L92" s="4" t="s">
        <v>70</v>
      </c>
      <c r="M92">
        <v>10</v>
      </c>
      <c r="N92">
        <v>2</v>
      </c>
      <c r="O92">
        <v>3</v>
      </c>
      <c r="P92">
        <v>4</v>
      </c>
      <c r="Q92">
        <v>12</v>
      </c>
      <c r="R92">
        <v>6</v>
      </c>
      <c r="S92">
        <v>1</v>
      </c>
      <c r="T92">
        <v>8</v>
      </c>
      <c r="U92">
        <v>7</v>
      </c>
      <c r="V92">
        <v>11</v>
      </c>
      <c r="W92">
        <v>5</v>
      </c>
      <c r="X92">
        <v>9</v>
      </c>
      <c r="Y92">
        <f>COUNTA(OfficeForms.Table[[#This Row],[elements_shelters]:[elements_restspots]])</f>
        <v>12</v>
      </c>
      <c r="Z92">
        <v>1</v>
      </c>
      <c r="AA92">
        <v>2</v>
      </c>
      <c r="AB92">
        <v>8</v>
      </c>
      <c r="AC92">
        <v>6</v>
      </c>
      <c r="AD92">
        <v>3</v>
      </c>
      <c r="AE92">
        <v>7</v>
      </c>
      <c r="AF92">
        <v>4</v>
      </c>
      <c r="AG92">
        <v>5</v>
      </c>
      <c r="AH92">
        <f>COUNTA(OfficeForms.Table[[#This Row],[pnuw_walktrails]:[pnuw_restspots]])</f>
        <v>8</v>
      </c>
      <c r="AI92" s="4" t="s">
        <v>323</v>
      </c>
      <c r="AJ92" s="4" t="s">
        <v>88</v>
      </c>
      <c r="AK92" s="4" t="s">
        <v>60</v>
      </c>
      <c r="AL92" s="4"/>
      <c r="AM92" s="4"/>
      <c r="AN92" s="4"/>
      <c r="AO92" s="4"/>
      <c r="AP92" s="4"/>
      <c r="AQ92" s="4"/>
      <c r="AR92" s="4"/>
      <c r="AS92" s="4"/>
      <c r="AT92" s="4" t="s">
        <v>81</v>
      </c>
      <c r="AU92" s="4" t="s">
        <v>73</v>
      </c>
      <c r="AV92" s="4" t="s">
        <v>125</v>
      </c>
      <c r="AW92" s="4" t="s">
        <v>324</v>
      </c>
      <c r="AX92" s="4" t="s">
        <v>324</v>
      </c>
      <c r="AY92" s="5"/>
    </row>
    <row r="93" spans="1:51" x14ac:dyDescent="0.3">
      <c r="A93">
        <v>92</v>
      </c>
      <c r="B93" s="3">
        <v>45885.442314814798</v>
      </c>
      <c r="C93" s="3">
        <v>45885.4445023148</v>
      </c>
      <c r="D93" s="4" t="s">
        <v>49</v>
      </c>
      <c r="E93" s="4" t="s">
        <v>50</v>
      </c>
      <c r="F93" s="5" t="s">
        <v>325</v>
      </c>
      <c r="G93" s="4" t="s">
        <v>52</v>
      </c>
      <c r="H93" s="2">
        <v>45850</v>
      </c>
      <c r="I93" s="4" t="s">
        <v>53</v>
      </c>
      <c r="J93" s="4" t="s">
        <v>54</v>
      </c>
      <c r="K93" s="4" t="s">
        <v>78</v>
      </c>
      <c r="L93" s="4" t="s">
        <v>56</v>
      </c>
      <c r="M93">
        <v>5</v>
      </c>
      <c r="N93">
        <v>6</v>
      </c>
      <c r="O93">
        <v>10</v>
      </c>
      <c r="P93">
        <v>7</v>
      </c>
      <c r="Q93">
        <v>12</v>
      </c>
      <c r="R93">
        <v>8</v>
      </c>
      <c r="S93">
        <v>4</v>
      </c>
      <c r="T93">
        <v>3</v>
      </c>
      <c r="U93">
        <v>2</v>
      </c>
      <c r="V93">
        <v>11</v>
      </c>
      <c r="W93">
        <v>1</v>
      </c>
      <c r="X93">
        <v>9</v>
      </c>
      <c r="Y93">
        <f>COUNTA(OfficeForms.Table[[#This Row],[elements_shelters]:[elements_restspots]])</f>
        <v>12</v>
      </c>
      <c r="AH93">
        <f>COUNTA(OfficeForms.Table[[#This Row],[pnuw_walktrails]:[pnuw_restspots]])</f>
        <v>0</v>
      </c>
      <c r="AI93" s="4" t="s">
        <v>326</v>
      </c>
      <c r="AJ93" s="4" t="s">
        <v>327</v>
      </c>
      <c r="AK93" s="4" t="s">
        <v>59</v>
      </c>
      <c r="AL93" s="4" t="s">
        <v>59</v>
      </c>
      <c r="AM93" s="4" t="s">
        <v>328</v>
      </c>
      <c r="AN93" s="4" t="s">
        <v>174</v>
      </c>
      <c r="AO93" s="4"/>
      <c r="AP93" s="4" t="s">
        <v>59</v>
      </c>
      <c r="AQ93" s="4" t="s">
        <v>329</v>
      </c>
      <c r="AR93" s="4" t="s">
        <v>174</v>
      </c>
      <c r="AS93" s="4"/>
      <c r="AT93" s="4" t="s">
        <v>81</v>
      </c>
      <c r="AU93" s="4" t="s">
        <v>73</v>
      </c>
      <c r="AV93" s="4" t="s">
        <v>82</v>
      </c>
      <c r="AW93" s="4" t="s">
        <v>330</v>
      </c>
      <c r="AX93" s="4" t="s">
        <v>330</v>
      </c>
      <c r="AY93" s="5"/>
    </row>
    <row r="94" spans="1:51" hidden="1" x14ac:dyDescent="0.3">
      <c r="A94">
        <v>93</v>
      </c>
      <c r="B94" s="3">
        <v>45885.444652777798</v>
      </c>
      <c r="C94" s="3">
        <v>45885.446701388901</v>
      </c>
      <c r="D94" s="4" t="s">
        <v>49</v>
      </c>
      <c r="E94" s="4" t="s">
        <v>50</v>
      </c>
      <c r="F94" s="5" t="s">
        <v>331</v>
      </c>
      <c r="G94" s="4" t="s">
        <v>52</v>
      </c>
      <c r="H94" s="2">
        <v>45850</v>
      </c>
      <c r="I94" s="4" t="s">
        <v>53</v>
      </c>
      <c r="J94" s="4" t="s">
        <v>54</v>
      </c>
      <c r="K94" s="4" t="s">
        <v>103</v>
      </c>
      <c r="L94" s="4" t="s">
        <v>56</v>
      </c>
      <c r="M94">
        <v>9</v>
      </c>
      <c r="N94">
        <v>1</v>
      </c>
      <c r="O94">
        <v>12</v>
      </c>
      <c r="P94">
        <v>3</v>
      </c>
      <c r="Q94">
        <v>10</v>
      </c>
      <c r="R94">
        <v>4</v>
      </c>
      <c r="S94">
        <v>2</v>
      </c>
      <c r="T94">
        <v>8</v>
      </c>
      <c r="U94">
        <v>7</v>
      </c>
      <c r="V94">
        <v>11</v>
      </c>
      <c r="W94">
        <v>5</v>
      </c>
      <c r="X94">
        <v>6</v>
      </c>
      <c r="Y94">
        <f>COUNTA(OfficeForms.Table[[#This Row],[elements_shelters]:[elements_restspots]])</f>
        <v>12</v>
      </c>
      <c r="Z94">
        <v>3</v>
      </c>
      <c r="AA94">
        <v>5</v>
      </c>
      <c r="AB94">
        <v>4</v>
      </c>
      <c r="AC94">
        <v>6</v>
      </c>
      <c r="AD94">
        <v>7</v>
      </c>
      <c r="AE94">
        <v>8</v>
      </c>
      <c r="AF94">
        <v>1</v>
      </c>
      <c r="AG94">
        <v>2</v>
      </c>
      <c r="AH94">
        <f>COUNTA(OfficeForms.Table[[#This Row],[pnuw_walktrails]:[pnuw_restspots]])</f>
        <v>8</v>
      </c>
      <c r="AI94" s="4" t="s">
        <v>117</v>
      </c>
      <c r="AJ94" s="4" t="s">
        <v>88</v>
      </c>
      <c r="AK94" s="4" t="s">
        <v>59</v>
      </c>
      <c r="AL94" s="4" t="s">
        <v>59</v>
      </c>
      <c r="AM94" s="4" t="s">
        <v>332</v>
      </c>
      <c r="AN94" s="4" t="s">
        <v>61</v>
      </c>
      <c r="AO94" s="4"/>
      <c r="AP94" s="4" t="s">
        <v>59</v>
      </c>
      <c r="AQ94" s="4" t="s">
        <v>333</v>
      </c>
      <c r="AR94" s="4" t="s">
        <v>61</v>
      </c>
      <c r="AS94" s="4"/>
      <c r="AT94" s="4" t="s">
        <v>81</v>
      </c>
      <c r="AU94" s="4" t="s">
        <v>108</v>
      </c>
      <c r="AV94" s="4" t="s">
        <v>82</v>
      </c>
      <c r="AW94" s="4" t="s">
        <v>114</v>
      </c>
      <c r="AX94" s="4" t="s">
        <v>115</v>
      </c>
      <c r="AY94" s="5"/>
    </row>
    <row r="95" spans="1:51" hidden="1" x14ac:dyDescent="0.3">
      <c r="A95">
        <v>94</v>
      </c>
      <c r="B95" s="3">
        <v>45885.446712962999</v>
      </c>
      <c r="C95" s="3">
        <v>45885.449687499997</v>
      </c>
      <c r="D95" s="4" t="s">
        <v>49</v>
      </c>
      <c r="E95" s="4" t="s">
        <v>50</v>
      </c>
      <c r="F95" s="5" t="s">
        <v>334</v>
      </c>
      <c r="G95" s="4" t="s">
        <v>52</v>
      </c>
      <c r="H95" s="2">
        <v>45850</v>
      </c>
      <c r="I95" s="4" t="s">
        <v>53</v>
      </c>
      <c r="J95" s="4" t="s">
        <v>54</v>
      </c>
      <c r="K95" s="4" t="s">
        <v>78</v>
      </c>
      <c r="L95" s="4" t="s">
        <v>86</v>
      </c>
      <c r="M95">
        <v>11</v>
      </c>
      <c r="N95">
        <v>1</v>
      </c>
      <c r="O95">
        <v>3</v>
      </c>
      <c r="P95">
        <v>2</v>
      </c>
      <c r="Q95">
        <v>9</v>
      </c>
      <c r="R95">
        <v>3</v>
      </c>
      <c r="S95">
        <v>4</v>
      </c>
      <c r="T95">
        <v>5</v>
      </c>
      <c r="U95">
        <v>6</v>
      </c>
      <c r="V95">
        <v>10</v>
      </c>
      <c r="W95">
        <v>7</v>
      </c>
      <c r="X95">
        <v>8</v>
      </c>
      <c r="Y95">
        <f>COUNTA(OfficeForms.Table[[#This Row],[elements_shelters]:[elements_restspots]])</f>
        <v>12</v>
      </c>
      <c r="Z95">
        <v>1</v>
      </c>
      <c r="AA95">
        <v>2</v>
      </c>
      <c r="AB95">
        <v>3</v>
      </c>
      <c r="AC95">
        <v>4</v>
      </c>
      <c r="AD95">
        <v>7</v>
      </c>
      <c r="AE95">
        <v>8</v>
      </c>
      <c r="AF95">
        <v>6</v>
      </c>
      <c r="AG95">
        <v>5</v>
      </c>
      <c r="AH95">
        <f>COUNTA(OfficeForms.Table[[#This Row],[pnuw_walktrails]:[pnuw_restspots]])</f>
        <v>8</v>
      </c>
      <c r="AI95" s="4" t="s">
        <v>117</v>
      </c>
      <c r="AJ95" s="4" t="s">
        <v>80</v>
      </c>
      <c r="AK95" s="4" t="s">
        <v>59</v>
      </c>
      <c r="AL95" s="4" t="s">
        <v>60</v>
      </c>
      <c r="AM95" s="4"/>
      <c r="AN95" s="4" t="s">
        <v>61</v>
      </c>
      <c r="AO95" s="4"/>
      <c r="AP95" s="4" t="s">
        <v>59</v>
      </c>
      <c r="AQ95" s="4" t="s">
        <v>335</v>
      </c>
      <c r="AR95" s="4" t="s">
        <v>61</v>
      </c>
      <c r="AS95" s="4"/>
      <c r="AT95" s="4" t="s">
        <v>81</v>
      </c>
      <c r="AU95" s="4" t="s">
        <v>64</v>
      </c>
      <c r="AV95" s="4" t="s">
        <v>82</v>
      </c>
      <c r="AW95" s="4" t="s">
        <v>336</v>
      </c>
      <c r="AX95" s="4" t="s">
        <v>67</v>
      </c>
      <c r="AY95" s="5"/>
    </row>
    <row r="96" spans="1:51" hidden="1" x14ac:dyDescent="0.3">
      <c r="A96">
        <v>95</v>
      </c>
      <c r="B96" s="3">
        <v>45885.449803240699</v>
      </c>
      <c r="C96" s="3">
        <v>45885.451157407399</v>
      </c>
      <c r="D96" s="4" t="s">
        <v>49</v>
      </c>
      <c r="E96" s="4" t="s">
        <v>50</v>
      </c>
      <c r="F96" s="5" t="s">
        <v>337</v>
      </c>
      <c r="G96" s="4" t="s">
        <v>52</v>
      </c>
      <c r="H96" s="2">
        <v>45851</v>
      </c>
      <c r="I96" s="4" t="s">
        <v>53</v>
      </c>
      <c r="J96" s="4" t="s">
        <v>54</v>
      </c>
      <c r="K96" s="4" t="s">
        <v>78</v>
      </c>
      <c r="L96" s="4" t="s">
        <v>56</v>
      </c>
      <c r="M96">
        <v>6</v>
      </c>
      <c r="N96">
        <v>1</v>
      </c>
      <c r="O96">
        <v>9</v>
      </c>
      <c r="P96">
        <v>7</v>
      </c>
      <c r="Q96">
        <v>4</v>
      </c>
      <c r="R96">
        <v>5</v>
      </c>
      <c r="S96">
        <v>3</v>
      </c>
      <c r="T96">
        <v>8</v>
      </c>
      <c r="U96">
        <v>12</v>
      </c>
      <c r="V96">
        <v>11</v>
      </c>
      <c r="W96">
        <v>2</v>
      </c>
      <c r="X96">
        <v>10</v>
      </c>
      <c r="Y96">
        <f>COUNTA(OfficeForms.Table[[#This Row],[elements_shelters]:[elements_restspots]])</f>
        <v>12</v>
      </c>
      <c r="Z96">
        <v>4</v>
      </c>
      <c r="AA96">
        <v>8</v>
      </c>
      <c r="AB96">
        <v>1</v>
      </c>
      <c r="AC96">
        <v>3</v>
      </c>
      <c r="AD96">
        <v>5</v>
      </c>
      <c r="AE96">
        <v>6</v>
      </c>
      <c r="AF96">
        <v>2</v>
      </c>
      <c r="AG96">
        <v>7</v>
      </c>
      <c r="AH96">
        <f>COUNTA(OfficeForms.Table[[#This Row],[pnuw_walktrails]:[pnuw_restspots]])</f>
        <v>8</v>
      </c>
      <c r="AI96" s="4" t="s">
        <v>117</v>
      </c>
      <c r="AJ96" s="4" t="s">
        <v>88</v>
      </c>
      <c r="AK96" s="4" t="s">
        <v>59</v>
      </c>
      <c r="AL96" s="4" t="s">
        <v>60</v>
      </c>
      <c r="AM96" s="4"/>
      <c r="AN96" s="4" t="s">
        <v>61</v>
      </c>
      <c r="AO96" s="4"/>
      <c r="AP96" s="4" t="s">
        <v>59</v>
      </c>
      <c r="AQ96" s="4" t="s">
        <v>263</v>
      </c>
      <c r="AR96" s="4" t="s">
        <v>61</v>
      </c>
      <c r="AS96" s="4"/>
      <c r="AT96" s="4" t="s">
        <v>63</v>
      </c>
      <c r="AU96" s="4" t="s">
        <v>73</v>
      </c>
      <c r="AV96" s="4" t="s">
        <v>125</v>
      </c>
      <c r="AW96" s="4" t="s">
        <v>338</v>
      </c>
      <c r="AX96" s="4" t="s">
        <v>339</v>
      </c>
      <c r="AY96" s="5"/>
    </row>
    <row r="97" spans="1:51" x14ac:dyDescent="0.3">
      <c r="A97">
        <v>96</v>
      </c>
      <c r="B97" s="3">
        <v>45885.451180555603</v>
      </c>
      <c r="C97" s="3">
        <v>45885.453009259298</v>
      </c>
      <c r="D97" s="4" t="s">
        <v>49</v>
      </c>
      <c r="E97" s="4" t="s">
        <v>50</v>
      </c>
      <c r="F97" s="5" t="s">
        <v>340</v>
      </c>
      <c r="G97" s="4" t="s">
        <v>52</v>
      </c>
      <c r="H97" s="2">
        <v>45851</v>
      </c>
      <c r="I97" s="4" t="s">
        <v>53</v>
      </c>
      <c r="J97" s="4" t="s">
        <v>54</v>
      </c>
      <c r="K97" s="4" t="s">
        <v>103</v>
      </c>
      <c r="L97" s="4" t="s">
        <v>86</v>
      </c>
      <c r="M97">
        <v>6</v>
      </c>
      <c r="N97">
        <v>8</v>
      </c>
      <c r="O97">
        <v>9</v>
      </c>
      <c r="P97">
        <v>7</v>
      </c>
      <c r="Q97">
        <v>11</v>
      </c>
      <c r="R97">
        <v>10</v>
      </c>
      <c r="S97">
        <v>3</v>
      </c>
      <c r="T97">
        <v>4</v>
      </c>
      <c r="U97">
        <v>2</v>
      </c>
      <c r="V97">
        <v>12</v>
      </c>
      <c r="W97">
        <v>5</v>
      </c>
      <c r="X97">
        <v>1</v>
      </c>
      <c r="Y97">
        <f>COUNTA(OfficeForms.Table[[#This Row],[elements_shelters]:[elements_restspots]])</f>
        <v>12</v>
      </c>
      <c r="Z97">
        <v>2</v>
      </c>
      <c r="AA97">
        <v>3</v>
      </c>
      <c r="AB97">
        <v>4</v>
      </c>
      <c r="AC97">
        <v>6</v>
      </c>
      <c r="AD97">
        <v>1</v>
      </c>
      <c r="AE97">
        <v>5</v>
      </c>
      <c r="AF97">
        <v>7</v>
      </c>
      <c r="AG97">
        <v>8</v>
      </c>
      <c r="AH97">
        <f>COUNTA(OfficeForms.Table[[#This Row],[pnuw_walktrails]:[pnuw_restspots]])</f>
        <v>8</v>
      </c>
      <c r="AI97" s="4" t="s">
        <v>117</v>
      </c>
      <c r="AJ97" s="4" t="s">
        <v>341</v>
      </c>
      <c r="AK97" s="4" t="s">
        <v>59</v>
      </c>
      <c r="AL97" s="4" t="s">
        <v>59</v>
      </c>
      <c r="AM97" s="4" t="s">
        <v>342</v>
      </c>
      <c r="AN97" s="4" t="s">
        <v>111</v>
      </c>
      <c r="AO97" s="4"/>
      <c r="AP97" s="4" t="s">
        <v>59</v>
      </c>
      <c r="AQ97" s="4" t="s">
        <v>343</v>
      </c>
      <c r="AR97" s="4" t="s">
        <v>111</v>
      </c>
      <c r="AS97" s="4"/>
      <c r="AT97" s="4" t="s">
        <v>63</v>
      </c>
      <c r="AU97" s="4" t="s">
        <v>64</v>
      </c>
      <c r="AV97" s="4" t="s">
        <v>74</v>
      </c>
      <c r="AW97" s="4" t="s">
        <v>114</v>
      </c>
      <c r="AX97" s="4" t="s">
        <v>115</v>
      </c>
      <c r="AY97" s="5"/>
    </row>
    <row r="98" spans="1:51" x14ac:dyDescent="0.3">
      <c r="A98">
        <v>97</v>
      </c>
      <c r="B98" s="3">
        <v>45885.4530324074</v>
      </c>
      <c r="C98" s="3">
        <v>45885.454490740703</v>
      </c>
      <c r="D98" s="4" t="s">
        <v>49</v>
      </c>
      <c r="E98" s="4" t="s">
        <v>50</v>
      </c>
      <c r="F98" s="5" t="s">
        <v>344</v>
      </c>
      <c r="G98" s="4" t="s">
        <v>52</v>
      </c>
      <c r="H98" s="2">
        <v>45851</v>
      </c>
      <c r="I98" s="4" t="s">
        <v>53</v>
      </c>
      <c r="J98" s="4" t="s">
        <v>54</v>
      </c>
      <c r="K98" s="4" t="s">
        <v>103</v>
      </c>
      <c r="L98" s="4" t="s">
        <v>56</v>
      </c>
      <c r="M98">
        <v>8</v>
      </c>
      <c r="N98">
        <v>2</v>
      </c>
      <c r="O98">
        <v>9</v>
      </c>
      <c r="P98">
        <v>1</v>
      </c>
      <c r="Q98">
        <v>5</v>
      </c>
      <c r="R98">
        <v>4</v>
      </c>
      <c r="S98">
        <v>7</v>
      </c>
      <c r="T98">
        <v>10</v>
      </c>
      <c r="U98">
        <v>11</v>
      </c>
      <c r="V98">
        <v>12</v>
      </c>
      <c r="W98">
        <v>6</v>
      </c>
      <c r="X98">
        <v>3</v>
      </c>
      <c r="Y98">
        <f>COUNTA(OfficeForms.Table[[#This Row],[elements_shelters]:[elements_restspots]])</f>
        <v>12</v>
      </c>
      <c r="Z98">
        <v>6</v>
      </c>
      <c r="AA98">
        <v>7</v>
      </c>
      <c r="AB98">
        <v>8</v>
      </c>
      <c r="AC98">
        <v>5</v>
      </c>
      <c r="AD98">
        <v>1</v>
      </c>
      <c r="AE98">
        <v>2</v>
      </c>
      <c r="AF98">
        <v>3</v>
      </c>
      <c r="AG98">
        <v>4</v>
      </c>
      <c r="AH98">
        <f>COUNTA(OfficeForms.Table[[#This Row],[pnuw_walktrails]:[pnuw_restspots]])</f>
        <v>8</v>
      </c>
      <c r="AI98" s="4" t="s">
        <v>345</v>
      </c>
      <c r="AJ98" s="4" t="s">
        <v>346</v>
      </c>
      <c r="AK98" s="4" t="s">
        <v>59</v>
      </c>
      <c r="AL98" s="4" t="s">
        <v>60</v>
      </c>
      <c r="AM98" s="4"/>
      <c r="AN98" s="4" t="s">
        <v>61</v>
      </c>
      <c r="AO98" s="4"/>
      <c r="AP98" s="4" t="s">
        <v>59</v>
      </c>
      <c r="AQ98" s="4" t="s">
        <v>332</v>
      </c>
      <c r="AR98" s="4" t="s">
        <v>61</v>
      </c>
      <c r="AS98" s="4"/>
      <c r="AT98" s="4" t="s">
        <v>81</v>
      </c>
      <c r="AU98" s="4" t="s">
        <v>64</v>
      </c>
      <c r="AV98" s="4" t="s">
        <v>125</v>
      </c>
      <c r="AW98" s="4" t="s">
        <v>114</v>
      </c>
      <c r="AX98" s="4" t="s">
        <v>115</v>
      </c>
      <c r="AY98" s="5"/>
    </row>
    <row r="99" spans="1:51" hidden="1" x14ac:dyDescent="0.3">
      <c r="A99">
        <v>98</v>
      </c>
      <c r="B99" s="3">
        <v>45885.454618055599</v>
      </c>
      <c r="C99" s="3">
        <v>45885.456296296303</v>
      </c>
      <c r="D99" s="4" t="s">
        <v>49</v>
      </c>
      <c r="E99" s="4" t="s">
        <v>50</v>
      </c>
      <c r="F99" s="5" t="s">
        <v>347</v>
      </c>
      <c r="G99" s="4" t="s">
        <v>52</v>
      </c>
      <c r="H99" s="2">
        <v>45851</v>
      </c>
      <c r="I99" s="4" t="s">
        <v>53</v>
      </c>
      <c r="J99" s="4" t="s">
        <v>85</v>
      </c>
      <c r="K99" s="4" t="s">
        <v>78</v>
      </c>
      <c r="L99" s="4" t="s">
        <v>56</v>
      </c>
      <c r="M99">
        <v>4</v>
      </c>
      <c r="N99">
        <v>3</v>
      </c>
      <c r="O99">
        <v>2</v>
      </c>
      <c r="P99">
        <v>1</v>
      </c>
      <c r="Q99">
        <v>12</v>
      </c>
      <c r="R99">
        <v>11</v>
      </c>
      <c r="S99">
        <v>5</v>
      </c>
      <c r="T99">
        <v>6</v>
      </c>
      <c r="U99">
        <v>7</v>
      </c>
      <c r="V99">
        <v>10</v>
      </c>
      <c r="W99">
        <v>8</v>
      </c>
      <c r="X99">
        <v>9</v>
      </c>
      <c r="Y99">
        <f>COUNTA(OfficeForms.Table[[#This Row],[elements_shelters]:[elements_restspots]])</f>
        <v>12</v>
      </c>
      <c r="Z99">
        <v>1</v>
      </c>
      <c r="AA99">
        <v>8</v>
      </c>
      <c r="AB99">
        <v>2</v>
      </c>
      <c r="AC99">
        <v>3</v>
      </c>
      <c r="AD99">
        <v>4</v>
      </c>
      <c r="AE99">
        <v>5</v>
      </c>
      <c r="AF99">
        <v>6</v>
      </c>
      <c r="AG99">
        <v>7</v>
      </c>
      <c r="AH99">
        <f>COUNTA(OfficeForms.Table[[#This Row],[pnuw_walktrails]:[pnuw_restspots]])</f>
        <v>8</v>
      </c>
      <c r="AI99" s="4" t="s">
        <v>341</v>
      </c>
      <c r="AJ99" s="4" t="s">
        <v>72</v>
      </c>
      <c r="AK99" s="4" t="s">
        <v>59</v>
      </c>
      <c r="AL99" s="4" t="s">
        <v>60</v>
      </c>
      <c r="AM99" s="4"/>
      <c r="AN99" s="4" t="s">
        <v>61</v>
      </c>
      <c r="AO99" s="4"/>
      <c r="AP99" s="4" t="s">
        <v>59</v>
      </c>
      <c r="AQ99" s="4"/>
      <c r="AR99" s="4" t="s">
        <v>61</v>
      </c>
      <c r="AS99" s="4"/>
      <c r="AT99" s="4" t="s">
        <v>63</v>
      </c>
      <c r="AU99" s="4" t="s">
        <v>64</v>
      </c>
      <c r="AV99" s="4" t="s">
        <v>125</v>
      </c>
      <c r="AW99" s="4" t="s">
        <v>348</v>
      </c>
      <c r="AX99" s="4" t="s">
        <v>115</v>
      </c>
      <c r="AY99" s="5"/>
    </row>
    <row r="100" spans="1:51" hidden="1" x14ac:dyDescent="0.3">
      <c r="A100">
        <v>99</v>
      </c>
      <c r="B100" s="3">
        <v>45885.456307870401</v>
      </c>
      <c r="C100" s="3">
        <v>45885.457766203697</v>
      </c>
      <c r="D100" s="4" t="s">
        <v>49</v>
      </c>
      <c r="E100" s="4" t="s">
        <v>50</v>
      </c>
      <c r="F100" s="5" t="s">
        <v>349</v>
      </c>
      <c r="G100" s="4" t="s">
        <v>52</v>
      </c>
      <c r="H100" s="2">
        <v>45851</v>
      </c>
      <c r="I100" s="4" t="s">
        <v>53</v>
      </c>
      <c r="J100" s="4" t="s">
        <v>54</v>
      </c>
      <c r="K100" s="4" t="s">
        <v>78</v>
      </c>
      <c r="L100" s="4" t="s">
        <v>56</v>
      </c>
      <c r="M100">
        <v>11</v>
      </c>
      <c r="N100">
        <v>1</v>
      </c>
      <c r="O100">
        <v>2</v>
      </c>
      <c r="P100">
        <v>3</v>
      </c>
      <c r="Q100">
        <v>12</v>
      </c>
      <c r="R100">
        <v>4</v>
      </c>
      <c r="S100">
        <v>5</v>
      </c>
      <c r="T100">
        <v>9</v>
      </c>
      <c r="U100">
        <v>6</v>
      </c>
      <c r="V100">
        <v>10</v>
      </c>
      <c r="W100">
        <v>7</v>
      </c>
      <c r="X100">
        <v>8</v>
      </c>
      <c r="Y100">
        <f>COUNTA(OfficeForms.Table[[#This Row],[elements_shelters]:[elements_restspots]])</f>
        <v>12</v>
      </c>
      <c r="Z100">
        <v>1</v>
      </c>
      <c r="AA100">
        <v>2</v>
      </c>
      <c r="AB100">
        <v>8</v>
      </c>
      <c r="AC100">
        <v>6</v>
      </c>
      <c r="AD100">
        <v>5</v>
      </c>
      <c r="AE100">
        <v>7</v>
      </c>
      <c r="AF100">
        <v>3</v>
      </c>
      <c r="AG100">
        <v>4</v>
      </c>
      <c r="AH100">
        <f>COUNTA(OfficeForms.Table[[#This Row],[pnuw_walktrails]:[pnuw_restspots]])</f>
        <v>8</v>
      </c>
      <c r="AI100" s="4" t="s">
        <v>350</v>
      </c>
      <c r="AJ100" s="4" t="s">
        <v>72</v>
      </c>
      <c r="AK100" s="4" t="s">
        <v>59</v>
      </c>
      <c r="AL100" s="4" t="s">
        <v>60</v>
      </c>
      <c r="AM100" s="4"/>
      <c r="AN100" s="4" t="s">
        <v>111</v>
      </c>
      <c r="AO100" s="4"/>
      <c r="AP100" s="4" t="s">
        <v>59</v>
      </c>
      <c r="AQ100" s="4" t="s">
        <v>269</v>
      </c>
      <c r="AR100" s="4" t="s">
        <v>111</v>
      </c>
      <c r="AS100" s="4"/>
      <c r="AT100" s="4" t="s">
        <v>63</v>
      </c>
      <c r="AU100" s="4" t="s">
        <v>73</v>
      </c>
      <c r="AV100" s="4" t="s">
        <v>99</v>
      </c>
      <c r="AW100" s="4" t="s">
        <v>351</v>
      </c>
      <c r="AX100" s="4" t="s">
        <v>76</v>
      </c>
      <c r="AY100" s="5"/>
    </row>
    <row r="101" spans="1:51" hidden="1" x14ac:dyDescent="0.3">
      <c r="A101">
        <v>100</v>
      </c>
      <c r="B101" s="3">
        <v>45885.457789351902</v>
      </c>
      <c r="C101" s="3">
        <v>45885.459178240701</v>
      </c>
      <c r="D101" s="4" t="s">
        <v>49</v>
      </c>
      <c r="E101" s="4" t="s">
        <v>50</v>
      </c>
      <c r="F101" s="5" t="s">
        <v>352</v>
      </c>
      <c r="G101" s="4" t="s">
        <v>52</v>
      </c>
      <c r="H101" s="2">
        <v>45851</v>
      </c>
      <c r="I101" s="4" t="s">
        <v>53</v>
      </c>
      <c r="J101" s="4" t="s">
        <v>54</v>
      </c>
      <c r="K101" s="4" t="s">
        <v>78</v>
      </c>
      <c r="L101" s="4" t="s">
        <v>56</v>
      </c>
      <c r="M101">
        <v>11</v>
      </c>
      <c r="N101">
        <v>1</v>
      </c>
      <c r="O101">
        <v>2</v>
      </c>
      <c r="P101">
        <v>3</v>
      </c>
      <c r="Q101">
        <v>12</v>
      </c>
      <c r="R101">
        <v>4</v>
      </c>
      <c r="S101">
        <v>5</v>
      </c>
      <c r="T101">
        <v>6</v>
      </c>
      <c r="U101">
        <v>7</v>
      </c>
      <c r="V101">
        <v>10</v>
      </c>
      <c r="W101">
        <v>9</v>
      </c>
      <c r="X101">
        <v>8</v>
      </c>
      <c r="Y101">
        <f>COUNTA(OfficeForms.Table[[#This Row],[elements_shelters]:[elements_restspots]])</f>
        <v>12</v>
      </c>
      <c r="Z101">
        <v>1</v>
      </c>
      <c r="AA101">
        <v>5</v>
      </c>
      <c r="AB101">
        <v>6</v>
      </c>
      <c r="AC101">
        <v>7</v>
      </c>
      <c r="AD101">
        <v>2</v>
      </c>
      <c r="AE101">
        <v>4</v>
      </c>
      <c r="AF101">
        <v>3</v>
      </c>
      <c r="AG101">
        <v>8</v>
      </c>
      <c r="AH101">
        <f>COUNTA(OfficeForms.Table[[#This Row],[pnuw_walktrails]:[pnuw_restspots]])</f>
        <v>8</v>
      </c>
      <c r="AI101" s="4" t="s">
        <v>117</v>
      </c>
      <c r="AJ101" s="4" t="s">
        <v>80</v>
      </c>
      <c r="AK101" s="4" t="s">
        <v>59</v>
      </c>
      <c r="AL101" s="4" t="s">
        <v>60</v>
      </c>
      <c r="AM101" s="4"/>
      <c r="AN101" s="4" t="s">
        <v>111</v>
      </c>
      <c r="AO101" s="4"/>
      <c r="AP101" s="4" t="s">
        <v>59</v>
      </c>
      <c r="AQ101" s="4" t="s">
        <v>263</v>
      </c>
      <c r="AR101" s="4" t="s">
        <v>111</v>
      </c>
      <c r="AS101" s="4"/>
      <c r="AT101" s="4" t="s">
        <v>81</v>
      </c>
      <c r="AU101" s="4" t="s">
        <v>73</v>
      </c>
      <c r="AV101" s="4" t="s">
        <v>99</v>
      </c>
      <c r="AW101" s="4" t="s">
        <v>351</v>
      </c>
      <c r="AX101" s="4" t="s">
        <v>76</v>
      </c>
      <c r="AY101" s="5"/>
    </row>
    <row r="102" spans="1:51" hidden="1" x14ac:dyDescent="0.3">
      <c r="A102">
        <v>101</v>
      </c>
      <c r="B102" s="3">
        <v>45885.459189814799</v>
      </c>
      <c r="C102" s="3">
        <v>45885.4608912037</v>
      </c>
      <c r="D102" s="4" t="s">
        <v>49</v>
      </c>
      <c r="E102" s="4" t="s">
        <v>50</v>
      </c>
      <c r="F102" s="5" t="s">
        <v>353</v>
      </c>
      <c r="G102" s="4" t="s">
        <v>52</v>
      </c>
      <c r="H102" s="2">
        <v>45851</v>
      </c>
      <c r="I102" s="4" t="s">
        <v>53</v>
      </c>
      <c r="J102" s="4" t="s">
        <v>54</v>
      </c>
      <c r="K102" s="4" t="s">
        <v>103</v>
      </c>
      <c r="L102" s="4" t="s">
        <v>86</v>
      </c>
      <c r="M102">
        <v>11</v>
      </c>
      <c r="N102">
        <v>6</v>
      </c>
      <c r="O102">
        <v>8</v>
      </c>
      <c r="P102">
        <v>7</v>
      </c>
      <c r="Q102">
        <v>12</v>
      </c>
      <c r="R102">
        <v>9</v>
      </c>
      <c r="S102">
        <v>1</v>
      </c>
      <c r="T102">
        <v>2</v>
      </c>
      <c r="U102">
        <v>3</v>
      </c>
      <c r="V102">
        <v>10</v>
      </c>
      <c r="W102">
        <v>4</v>
      </c>
      <c r="X102">
        <v>5</v>
      </c>
      <c r="Y102">
        <f>COUNTA(OfficeForms.Table[[#This Row],[elements_shelters]:[elements_restspots]])</f>
        <v>12</v>
      </c>
      <c r="Z102">
        <v>1</v>
      </c>
      <c r="AA102">
        <v>7</v>
      </c>
      <c r="AB102">
        <v>6</v>
      </c>
      <c r="AC102">
        <v>5</v>
      </c>
      <c r="AD102">
        <v>2</v>
      </c>
      <c r="AE102">
        <v>3</v>
      </c>
      <c r="AF102">
        <v>8</v>
      </c>
      <c r="AG102">
        <v>4</v>
      </c>
      <c r="AH102">
        <f>COUNTA(OfficeForms.Table[[#This Row],[pnuw_walktrails]:[pnuw_restspots]])</f>
        <v>8</v>
      </c>
      <c r="AI102" s="4" t="s">
        <v>354</v>
      </c>
      <c r="AJ102" s="4" t="s">
        <v>88</v>
      </c>
      <c r="AK102" s="4" t="s">
        <v>60</v>
      </c>
      <c r="AL102" s="4"/>
      <c r="AM102" s="4"/>
      <c r="AN102" s="4"/>
      <c r="AO102" s="4"/>
      <c r="AP102" s="4"/>
      <c r="AQ102" s="4"/>
      <c r="AR102" s="4"/>
      <c r="AS102" s="4"/>
      <c r="AT102" s="4" t="s">
        <v>81</v>
      </c>
      <c r="AU102" s="4" t="s">
        <v>64</v>
      </c>
      <c r="AV102" s="4" t="s">
        <v>99</v>
      </c>
      <c r="AW102" s="4" t="s">
        <v>144</v>
      </c>
      <c r="AX102" s="4" t="s">
        <v>67</v>
      </c>
      <c r="AY102" s="5"/>
    </row>
    <row r="103" spans="1:51" hidden="1" x14ac:dyDescent="0.3">
      <c r="A103">
        <v>102</v>
      </c>
      <c r="B103" s="3">
        <v>45899.411400463003</v>
      </c>
      <c r="C103" s="3">
        <v>45899.420243055603</v>
      </c>
      <c r="D103" s="4" t="s">
        <v>49</v>
      </c>
      <c r="E103" s="4" t="s">
        <v>50</v>
      </c>
      <c r="F103" s="5" t="s">
        <v>355</v>
      </c>
      <c r="G103" s="4" t="s">
        <v>52</v>
      </c>
      <c r="H103" s="2">
        <v>45879</v>
      </c>
      <c r="I103" s="4" t="s">
        <v>53</v>
      </c>
      <c r="J103" s="4" t="s">
        <v>85</v>
      </c>
      <c r="K103" s="4" t="s">
        <v>78</v>
      </c>
      <c r="L103" s="4" t="s">
        <v>56</v>
      </c>
      <c r="M103">
        <v>3</v>
      </c>
      <c r="N103">
        <v>1</v>
      </c>
      <c r="O103">
        <v>6</v>
      </c>
      <c r="P103">
        <v>7</v>
      </c>
      <c r="Q103">
        <v>9</v>
      </c>
      <c r="R103">
        <v>2</v>
      </c>
      <c r="S103">
        <v>10</v>
      </c>
      <c r="T103">
        <v>12</v>
      </c>
      <c r="U103">
        <v>5</v>
      </c>
      <c r="V103">
        <v>11</v>
      </c>
      <c r="W103">
        <v>4</v>
      </c>
      <c r="X103">
        <v>3</v>
      </c>
      <c r="Y103">
        <f>COUNTA(OfficeForms.Table[[#This Row],[elements_shelters]:[elements_restspots]])</f>
        <v>12</v>
      </c>
      <c r="Z103">
        <v>4</v>
      </c>
      <c r="AA103">
        <v>5</v>
      </c>
      <c r="AB103">
        <v>3</v>
      </c>
      <c r="AC103">
        <v>6</v>
      </c>
      <c r="AD103">
        <v>1</v>
      </c>
      <c r="AE103">
        <v>2</v>
      </c>
      <c r="AF103">
        <v>7</v>
      </c>
      <c r="AG103">
        <v>8</v>
      </c>
      <c r="AH103">
        <f>COUNTA(OfficeForms.Table[[#This Row],[pnuw_walktrails]:[pnuw_restspots]])</f>
        <v>8</v>
      </c>
      <c r="AI103" s="4" t="s">
        <v>117</v>
      </c>
      <c r="AJ103" s="4" t="s">
        <v>88</v>
      </c>
      <c r="AK103" s="4" t="s">
        <v>60</v>
      </c>
      <c r="AL103" s="4"/>
      <c r="AM103" s="4"/>
      <c r="AN103" s="4"/>
      <c r="AO103" s="4"/>
      <c r="AP103" s="4"/>
      <c r="AQ103" s="4"/>
      <c r="AR103" s="4"/>
      <c r="AS103" s="4"/>
      <c r="AT103" s="4" t="s">
        <v>81</v>
      </c>
      <c r="AU103" s="4" t="s">
        <v>108</v>
      </c>
      <c r="AV103" s="4" t="s">
        <v>74</v>
      </c>
      <c r="AW103" s="4" t="s">
        <v>356</v>
      </c>
      <c r="AX103" s="4" t="s">
        <v>357</v>
      </c>
      <c r="AY103" s="5"/>
    </row>
    <row r="104" spans="1:51" hidden="1" x14ac:dyDescent="0.3">
      <c r="A104">
        <v>103</v>
      </c>
      <c r="B104" s="3">
        <v>45899.420381944401</v>
      </c>
      <c r="C104" s="3">
        <v>45899.422256944403</v>
      </c>
      <c r="D104" s="4" t="s">
        <v>49</v>
      </c>
      <c r="E104" s="4" t="s">
        <v>50</v>
      </c>
      <c r="F104" s="5" t="s">
        <v>358</v>
      </c>
      <c r="G104" s="4" t="s">
        <v>52</v>
      </c>
      <c r="H104" s="2">
        <v>45879</v>
      </c>
      <c r="I104" s="4" t="s">
        <v>53</v>
      </c>
      <c r="J104" s="4" t="s">
        <v>85</v>
      </c>
      <c r="K104" s="4" t="s">
        <v>78</v>
      </c>
      <c r="L104" s="4" t="s">
        <v>56</v>
      </c>
      <c r="M104">
        <v>8</v>
      </c>
      <c r="N104">
        <v>6</v>
      </c>
      <c r="O104">
        <v>1</v>
      </c>
      <c r="P104">
        <v>5</v>
      </c>
      <c r="Q104">
        <v>12</v>
      </c>
      <c r="R104">
        <v>4</v>
      </c>
      <c r="S104">
        <v>10</v>
      </c>
      <c r="T104">
        <v>3</v>
      </c>
      <c r="U104">
        <v>9</v>
      </c>
      <c r="V104">
        <v>11</v>
      </c>
      <c r="W104">
        <v>2</v>
      </c>
      <c r="X104">
        <v>7</v>
      </c>
      <c r="Y104">
        <f>COUNTA(OfficeForms.Table[[#This Row],[elements_shelters]:[elements_restspots]])</f>
        <v>12</v>
      </c>
      <c r="Z104">
        <v>1</v>
      </c>
      <c r="AA104">
        <v>6</v>
      </c>
      <c r="AB104">
        <v>4</v>
      </c>
      <c r="AC104">
        <v>5</v>
      </c>
      <c r="AD104">
        <v>7</v>
      </c>
      <c r="AE104">
        <v>8</v>
      </c>
      <c r="AF104">
        <v>3</v>
      </c>
      <c r="AG104">
        <v>2</v>
      </c>
      <c r="AH104">
        <f>COUNTA(OfficeForms.Table[[#This Row],[pnuw_walktrails]:[pnuw_restspots]])</f>
        <v>8</v>
      </c>
      <c r="AI104" s="4" t="s">
        <v>359</v>
      </c>
      <c r="AJ104" s="4" t="s">
        <v>88</v>
      </c>
      <c r="AK104" s="4" t="s">
        <v>60</v>
      </c>
      <c r="AL104" s="4"/>
      <c r="AM104" s="4"/>
      <c r="AN104" s="4"/>
      <c r="AO104" s="4"/>
      <c r="AP104" s="4"/>
      <c r="AQ104" s="4"/>
      <c r="AR104" s="4"/>
      <c r="AS104" s="4"/>
      <c r="AT104" s="4" t="s">
        <v>63</v>
      </c>
      <c r="AU104" s="4" t="s">
        <v>73</v>
      </c>
      <c r="AV104" s="4" t="s">
        <v>74</v>
      </c>
      <c r="AW104" s="4" t="s">
        <v>356</v>
      </c>
      <c r="AX104" s="4" t="s">
        <v>357</v>
      </c>
      <c r="AY104" s="5"/>
    </row>
    <row r="105" spans="1:51" hidden="1" x14ac:dyDescent="0.3">
      <c r="A105">
        <v>104</v>
      </c>
      <c r="B105" s="3">
        <v>45899.422465277799</v>
      </c>
      <c r="C105" s="3">
        <v>45899.423553240696</v>
      </c>
      <c r="D105" s="4" t="s">
        <v>49</v>
      </c>
      <c r="E105" s="4" t="s">
        <v>50</v>
      </c>
      <c r="F105" s="5" t="s">
        <v>360</v>
      </c>
      <c r="G105" s="4" t="s">
        <v>52</v>
      </c>
      <c r="H105" s="2">
        <v>45879</v>
      </c>
      <c r="I105" s="4" t="s">
        <v>53</v>
      </c>
      <c r="J105" s="4" t="s">
        <v>85</v>
      </c>
      <c r="K105" s="4" t="s">
        <v>55</v>
      </c>
      <c r="L105" s="4" t="s">
        <v>86</v>
      </c>
      <c r="M105">
        <v>11</v>
      </c>
      <c r="N105">
        <v>2</v>
      </c>
      <c r="O105">
        <v>9</v>
      </c>
      <c r="P105">
        <v>7</v>
      </c>
      <c r="Q105">
        <v>12</v>
      </c>
      <c r="R105">
        <v>1</v>
      </c>
      <c r="S105">
        <v>5</v>
      </c>
      <c r="T105">
        <v>8</v>
      </c>
      <c r="U105">
        <v>4</v>
      </c>
      <c r="V105">
        <v>6</v>
      </c>
      <c r="W105">
        <v>10</v>
      </c>
      <c r="X105">
        <v>3</v>
      </c>
      <c r="Y105">
        <f>COUNTA(OfficeForms.Table[[#This Row],[elements_shelters]:[elements_restspots]])</f>
        <v>12</v>
      </c>
      <c r="Z105">
        <v>1</v>
      </c>
      <c r="AA105">
        <v>8</v>
      </c>
      <c r="AB105">
        <v>2</v>
      </c>
      <c r="AC105">
        <v>3</v>
      </c>
      <c r="AD105">
        <v>4</v>
      </c>
      <c r="AE105">
        <v>5</v>
      </c>
      <c r="AF105">
        <v>6</v>
      </c>
      <c r="AG105">
        <v>7</v>
      </c>
      <c r="AH105">
        <f>COUNTA(OfficeForms.Table[[#This Row],[pnuw_walktrails]:[pnuw_restspots]])</f>
        <v>8</v>
      </c>
      <c r="AI105" s="4" t="s">
        <v>117</v>
      </c>
      <c r="AJ105" s="4" t="s">
        <v>88</v>
      </c>
      <c r="AK105" s="4" t="s">
        <v>60</v>
      </c>
      <c r="AL105" s="4"/>
      <c r="AM105" s="4"/>
      <c r="AN105" s="4"/>
      <c r="AO105" s="4"/>
      <c r="AP105" s="4"/>
      <c r="AQ105" s="4"/>
      <c r="AR105" s="4"/>
      <c r="AS105" s="4"/>
      <c r="AT105" s="4" t="s">
        <v>63</v>
      </c>
      <c r="AU105" s="4" t="s">
        <v>64</v>
      </c>
      <c r="AV105" s="4" t="s">
        <v>125</v>
      </c>
      <c r="AW105" s="4" t="s">
        <v>83</v>
      </c>
      <c r="AX105" s="4" t="s">
        <v>67</v>
      </c>
      <c r="AY105" s="5"/>
    </row>
    <row r="106" spans="1:51" hidden="1" x14ac:dyDescent="0.3">
      <c r="A106">
        <v>105</v>
      </c>
      <c r="B106" s="3">
        <v>45899.423680555599</v>
      </c>
      <c r="C106" s="3">
        <v>45899.425358796303</v>
      </c>
      <c r="D106" s="4" t="s">
        <v>49</v>
      </c>
      <c r="E106" s="4" t="s">
        <v>50</v>
      </c>
      <c r="F106" s="5" t="s">
        <v>361</v>
      </c>
      <c r="G106" s="4" t="s">
        <v>52</v>
      </c>
      <c r="H106" s="2">
        <v>45877</v>
      </c>
      <c r="I106" s="4" t="s">
        <v>53</v>
      </c>
      <c r="J106" s="4" t="s">
        <v>54</v>
      </c>
      <c r="K106" s="4" t="s">
        <v>78</v>
      </c>
      <c r="L106" s="4" t="s">
        <v>56</v>
      </c>
      <c r="M106">
        <v>11</v>
      </c>
      <c r="N106">
        <v>10</v>
      </c>
      <c r="O106">
        <v>6</v>
      </c>
      <c r="P106">
        <v>9</v>
      </c>
      <c r="Q106">
        <v>8</v>
      </c>
      <c r="R106">
        <v>5</v>
      </c>
      <c r="S106">
        <v>1</v>
      </c>
      <c r="T106">
        <v>2</v>
      </c>
      <c r="U106">
        <v>4</v>
      </c>
      <c r="V106">
        <v>12</v>
      </c>
      <c r="W106">
        <v>3</v>
      </c>
      <c r="X106">
        <v>7</v>
      </c>
      <c r="Y106">
        <f>COUNTA(OfficeForms.Table[[#This Row],[elements_shelters]:[elements_restspots]])</f>
        <v>12</v>
      </c>
      <c r="Z106">
        <v>6</v>
      </c>
      <c r="AA106">
        <v>5</v>
      </c>
      <c r="AB106">
        <v>4</v>
      </c>
      <c r="AC106">
        <v>7</v>
      </c>
      <c r="AD106">
        <v>3</v>
      </c>
      <c r="AE106">
        <v>1</v>
      </c>
      <c r="AF106">
        <v>2</v>
      </c>
      <c r="AG106">
        <v>8</v>
      </c>
      <c r="AH106">
        <f>COUNTA(OfficeForms.Table[[#This Row],[pnuw_walktrails]:[pnuw_restspots]])</f>
        <v>8</v>
      </c>
      <c r="AI106" s="4" t="s">
        <v>362</v>
      </c>
      <c r="AJ106" s="4" t="s">
        <v>88</v>
      </c>
      <c r="AK106" s="4" t="s">
        <v>59</v>
      </c>
      <c r="AL106" s="4" t="s">
        <v>60</v>
      </c>
      <c r="AM106" s="4"/>
      <c r="AN106" s="4" t="s">
        <v>61</v>
      </c>
      <c r="AO106" s="4"/>
      <c r="AP106" s="4" t="s">
        <v>59</v>
      </c>
      <c r="AQ106" s="4" t="s">
        <v>343</v>
      </c>
      <c r="AR106" s="4" t="s">
        <v>61</v>
      </c>
      <c r="AS106" s="4"/>
      <c r="AT106" s="4" t="s">
        <v>81</v>
      </c>
      <c r="AU106" s="4" t="s">
        <v>64</v>
      </c>
      <c r="AV106" s="4" t="s">
        <v>74</v>
      </c>
      <c r="AW106" s="4" t="s">
        <v>324</v>
      </c>
      <c r="AX106" s="4" t="s">
        <v>324</v>
      </c>
      <c r="AY106" s="5"/>
    </row>
    <row r="107" spans="1:51" hidden="1" x14ac:dyDescent="0.3">
      <c r="A107">
        <v>106</v>
      </c>
      <c r="B107" s="3">
        <v>45899.425381944398</v>
      </c>
      <c r="C107" s="3">
        <v>45899.427152777796</v>
      </c>
      <c r="D107" s="4" t="s">
        <v>49</v>
      </c>
      <c r="E107" s="4" t="s">
        <v>50</v>
      </c>
      <c r="F107" s="5" t="s">
        <v>363</v>
      </c>
      <c r="G107" s="4" t="s">
        <v>52</v>
      </c>
      <c r="H107" s="2">
        <v>45877</v>
      </c>
      <c r="I107" s="4" t="s">
        <v>53</v>
      </c>
      <c r="J107" s="4" t="s">
        <v>85</v>
      </c>
      <c r="K107" s="4" t="s">
        <v>78</v>
      </c>
      <c r="L107" s="4" t="s">
        <v>56</v>
      </c>
      <c r="M107">
        <v>11</v>
      </c>
      <c r="N107">
        <v>1</v>
      </c>
      <c r="O107">
        <v>7</v>
      </c>
      <c r="P107">
        <v>8</v>
      </c>
      <c r="Q107">
        <v>10</v>
      </c>
      <c r="R107">
        <v>9</v>
      </c>
      <c r="S107">
        <v>2</v>
      </c>
      <c r="T107">
        <v>3</v>
      </c>
      <c r="U107">
        <v>4</v>
      </c>
      <c r="V107">
        <v>12</v>
      </c>
      <c r="W107">
        <v>5</v>
      </c>
      <c r="X107">
        <v>6</v>
      </c>
      <c r="Y107">
        <f>COUNTA(OfficeForms.Table[[#This Row],[elements_shelters]:[elements_restspots]])</f>
        <v>12</v>
      </c>
      <c r="Z107">
        <v>6</v>
      </c>
      <c r="AA107">
        <v>5</v>
      </c>
      <c r="AB107">
        <v>8</v>
      </c>
      <c r="AC107">
        <v>1</v>
      </c>
      <c r="AD107">
        <v>2</v>
      </c>
      <c r="AE107">
        <v>7</v>
      </c>
      <c r="AF107">
        <v>4</v>
      </c>
      <c r="AG107">
        <v>3</v>
      </c>
      <c r="AH107">
        <f>COUNTA(OfficeForms.Table[[#This Row],[pnuw_walktrails]:[pnuw_restspots]])</f>
        <v>8</v>
      </c>
      <c r="AI107" s="4" t="s">
        <v>117</v>
      </c>
      <c r="AJ107" s="4" t="s">
        <v>268</v>
      </c>
      <c r="AK107" s="4" t="s">
        <v>59</v>
      </c>
      <c r="AL107" s="4" t="s">
        <v>59</v>
      </c>
      <c r="AM107" s="4" t="s">
        <v>263</v>
      </c>
      <c r="AN107" s="4" t="s">
        <v>61</v>
      </c>
      <c r="AO107" s="4"/>
      <c r="AP107" s="4" t="s">
        <v>59</v>
      </c>
      <c r="AQ107" s="4" t="s">
        <v>290</v>
      </c>
      <c r="AR107" s="4" t="s">
        <v>61</v>
      </c>
      <c r="AS107" s="4"/>
      <c r="AT107" s="4" t="s">
        <v>63</v>
      </c>
      <c r="AU107" s="4" t="s">
        <v>73</v>
      </c>
      <c r="AV107" s="4" t="s">
        <v>74</v>
      </c>
      <c r="AW107" s="4" t="s">
        <v>364</v>
      </c>
      <c r="AX107" s="4" t="s">
        <v>365</v>
      </c>
      <c r="AY107" s="5"/>
    </row>
    <row r="108" spans="1:51" hidden="1" x14ac:dyDescent="0.3">
      <c r="A108">
        <v>107</v>
      </c>
      <c r="B108" s="3">
        <v>45899.427280092597</v>
      </c>
      <c r="C108" s="3">
        <v>45899.4289699074</v>
      </c>
      <c r="D108" s="4" t="s">
        <v>49</v>
      </c>
      <c r="E108" s="4" t="s">
        <v>50</v>
      </c>
      <c r="F108" s="5" t="s">
        <v>366</v>
      </c>
      <c r="G108" s="4" t="s">
        <v>52</v>
      </c>
      <c r="H108" s="2">
        <v>45877</v>
      </c>
      <c r="I108" s="4" t="s">
        <v>53</v>
      </c>
      <c r="J108" s="4" t="s">
        <v>85</v>
      </c>
      <c r="K108" s="4" t="s">
        <v>78</v>
      </c>
      <c r="L108" s="4" t="s">
        <v>56</v>
      </c>
      <c r="M108">
        <v>9</v>
      </c>
      <c r="N108">
        <v>2</v>
      </c>
      <c r="O108">
        <v>1</v>
      </c>
      <c r="P108">
        <v>3</v>
      </c>
      <c r="Q108">
        <v>11</v>
      </c>
      <c r="R108">
        <v>8</v>
      </c>
      <c r="S108">
        <v>7</v>
      </c>
      <c r="T108">
        <v>6</v>
      </c>
      <c r="U108">
        <v>5</v>
      </c>
      <c r="V108">
        <v>12</v>
      </c>
      <c r="W108">
        <v>4</v>
      </c>
      <c r="X108">
        <v>10</v>
      </c>
      <c r="Y108">
        <f>COUNTA(OfficeForms.Table[[#This Row],[elements_shelters]:[elements_restspots]])</f>
        <v>12</v>
      </c>
      <c r="Z108">
        <v>1</v>
      </c>
      <c r="AA108">
        <v>6</v>
      </c>
      <c r="AB108">
        <v>2</v>
      </c>
      <c r="AC108">
        <v>3</v>
      </c>
      <c r="AD108">
        <v>4</v>
      </c>
      <c r="AE108">
        <v>5</v>
      </c>
      <c r="AF108">
        <v>8</v>
      </c>
      <c r="AG108">
        <v>7</v>
      </c>
      <c r="AH108">
        <f>COUNTA(OfficeForms.Table[[#This Row],[pnuw_walktrails]:[pnuw_restspots]])</f>
        <v>8</v>
      </c>
      <c r="AI108" s="4" t="s">
        <v>79</v>
      </c>
      <c r="AJ108" s="4" t="s">
        <v>72</v>
      </c>
      <c r="AK108" s="4" t="s">
        <v>59</v>
      </c>
      <c r="AL108" s="4" t="s">
        <v>59</v>
      </c>
      <c r="AM108" s="4" t="s">
        <v>367</v>
      </c>
      <c r="AN108" s="4" t="s">
        <v>111</v>
      </c>
      <c r="AO108" s="4"/>
      <c r="AP108" s="4" t="s">
        <v>59</v>
      </c>
      <c r="AQ108" s="4" t="s">
        <v>308</v>
      </c>
      <c r="AR108" s="4" t="s">
        <v>174</v>
      </c>
      <c r="AS108" s="4"/>
      <c r="AT108" s="4" t="s">
        <v>81</v>
      </c>
      <c r="AU108" s="4" t="s">
        <v>73</v>
      </c>
      <c r="AV108" s="4" t="s">
        <v>82</v>
      </c>
      <c r="AW108" s="4" t="s">
        <v>368</v>
      </c>
      <c r="AX108" s="4" t="s">
        <v>368</v>
      </c>
      <c r="AY108" s="5"/>
    </row>
    <row r="109" spans="1:51" hidden="1" x14ac:dyDescent="0.3">
      <c r="A109">
        <v>108</v>
      </c>
      <c r="B109" s="3">
        <v>45899.428993055597</v>
      </c>
      <c r="C109" s="3">
        <v>45899.4304513889</v>
      </c>
      <c r="D109" s="4" t="s">
        <v>49</v>
      </c>
      <c r="E109" s="4" t="s">
        <v>50</v>
      </c>
      <c r="F109" s="5" t="s">
        <v>369</v>
      </c>
      <c r="G109" s="4" t="s">
        <v>52</v>
      </c>
      <c r="H109" s="2">
        <v>45875</v>
      </c>
      <c r="I109" s="4" t="s">
        <v>53</v>
      </c>
      <c r="J109" s="4" t="s">
        <v>54</v>
      </c>
      <c r="K109" s="4" t="s">
        <v>103</v>
      </c>
      <c r="L109" s="4" t="s">
        <v>56</v>
      </c>
      <c r="M109">
        <v>8</v>
      </c>
      <c r="N109">
        <v>9</v>
      </c>
      <c r="O109">
        <v>10</v>
      </c>
      <c r="P109">
        <v>11</v>
      </c>
      <c r="Q109">
        <v>12</v>
      </c>
      <c r="R109">
        <v>4</v>
      </c>
      <c r="S109">
        <v>1</v>
      </c>
      <c r="T109">
        <v>5</v>
      </c>
      <c r="U109">
        <v>2</v>
      </c>
      <c r="V109">
        <v>7</v>
      </c>
      <c r="W109">
        <v>8</v>
      </c>
      <c r="X109">
        <v>3</v>
      </c>
      <c r="Y109">
        <f>COUNTA(OfficeForms.Table[[#This Row],[elements_shelters]:[elements_restspots]])</f>
        <v>12</v>
      </c>
      <c r="Z109">
        <v>5</v>
      </c>
      <c r="AA109">
        <v>6</v>
      </c>
      <c r="AB109">
        <v>8</v>
      </c>
      <c r="AC109">
        <v>1</v>
      </c>
      <c r="AD109">
        <v>3</v>
      </c>
      <c r="AE109">
        <v>5</v>
      </c>
      <c r="AF109">
        <v>7</v>
      </c>
      <c r="AG109" s="10">
        <v>4</v>
      </c>
      <c r="AH109">
        <f>COUNTA(OfficeForms.Table[[#This Row],[pnuw_walktrails]:[pnuw_restspots]])</f>
        <v>8</v>
      </c>
      <c r="AI109" s="4" t="s">
        <v>117</v>
      </c>
      <c r="AJ109" s="4" t="s">
        <v>80</v>
      </c>
      <c r="AK109" s="4" t="s">
        <v>59</v>
      </c>
      <c r="AL109" s="4" t="s">
        <v>60</v>
      </c>
      <c r="AM109" s="4"/>
      <c r="AN109" s="4" t="s">
        <v>111</v>
      </c>
      <c r="AO109" s="4"/>
      <c r="AP109" s="4" t="s">
        <v>59</v>
      </c>
      <c r="AQ109" s="4" t="s">
        <v>343</v>
      </c>
      <c r="AR109" s="4" t="s">
        <v>111</v>
      </c>
      <c r="AS109" s="4"/>
      <c r="AT109" s="4" t="s">
        <v>81</v>
      </c>
      <c r="AU109" s="4" t="s">
        <v>73</v>
      </c>
      <c r="AV109" s="4" t="s">
        <v>65</v>
      </c>
      <c r="AW109" s="4" t="s">
        <v>114</v>
      </c>
      <c r="AX109" s="4" t="s">
        <v>115</v>
      </c>
      <c r="AY109" s="5"/>
    </row>
    <row r="110" spans="1:51" hidden="1" x14ac:dyDescent="0.3">
      <c r="A110">
        <v>109</v>
      </c>
      <c r="B110" s="3">
        <v>45899.430613425902</v>
      </c>
      <c r="C110" s="3">
        <v>45899.434432870403</v>
      </c>
      <c r="D110" s="4" t="s">
        <v>49</v>
      </c>
      <c r="E110" s="4" t="s">
        <v>50</v>
      </c>
      <c r="F110" s="5" t="s">
        <v>370</v>
      </c>
      <c r="G110" s="4" t="s">
        <v>52</v>
      </c>
      <c r="H110" s="2">
        <v>45875</v>
      </c>
      <c r="I110" s="4" t="s">
        <v>53</v>
      </c>
      <c r="J110" s="4" t="s">
        <v>54</v>
      </c>
      <c r="K110" s="4" t="s">
        <v>55</v>
      </c>
      <c r="L110" s="4" t="s">
        <v>56</v>
      </c>
      <c r="M110">
        <v>8</v>
      </c>
      <c r="N110">
        <v>1</v>
      </c>
      <c r="O110">
        <v>10</v>
      </c>
      <c r="P110">
        <v>9</v>
      </c>
      <c r="Q110">
        <v>12</v>
      </c>
      <c r="R110">
        <v>2</v>
      </c>
      <c r="S110">
        <v>6</v>
      </c>
      <c r="T110">
        <v>3</v>
      </c>
      <c r="U110">
        <v>7</v>
      </c>
      <c r="V110">
        <v>11</v>
      </c>
      <c r="W110">
        <v>5</v>
      </c>
      <c r="X110">
        <v>4</v>
      </c>
      <c r="Y110">
        <f>COUNTA(OfficeForms.Table[[#This Row],[elements_shelters]:[elements_restspots]])</f>
        <v>12</v>
      </c>
      <c r="Z110">
        <v>1</v>
      </c>
      <c r="AA110">
        <v>3</v>
      </c>
      <c r="AB110">
        <v>6</v>
      </c>
      <c r="AC110">
        <v>2</v>
      </c>
      <c r="AD110">
        <v>8</v>
      </c>
      <c r="AE110">
        <v>7</v>
      </c>
      <c r="AF110">
        <v>5</v>
      </c>
      <c r="AG110">
        <v>4</v>
      </c>
      <c r="AH110">
        <f>COUNTA(OfficeForms.Table[[#This Row],[pnuw_walktrails]:[pnuw_restspots]])</f>
        <v>8</v>
      </c>
      <c r="AI110" s="4" t="s">
        <v>117</v>
      </c>
      <c r="AJ110" s="4" t="s">
        <v>88</v>
      </c>
      <c r="AK110" s="4" t="s">
        <v>60</v>
      </c>
      <c r="AL110" s="4"/>
      <c r="AM110" s="4"/>
      <c r="AN110" s="4"/>
      <c r="AO110" s="4"/>
      <c r="AP110" s="4"/>
      <c r="AQ110" s="4"/>
      <c r="AR110" s="4"/>
      <c r="AS110" s="4"/>
      <c r="AT110" s="4" t="s">
        <v>81</v>
      </c>
      <c r="AU110" s="4" t="s">
        <v>64</v>
      </c>
      <c r="AV110" s="4" t="s">
        <v>65</v>
      </c>
      <c r="AW110" s="4" t="s">
        <v>371</v>
      </c>
      <c r="AX110" s="4" t="s">
        <v>76</v>
      </c>
      <c r="AY110" s="5"/>
    </row>
    <row r="111" spans="1:51" hidden="1" x14ac:dyDescent="0.3">
      <c r="A111">
        <v>110</v>
      </c>
      <c r="B111" s="3">
        <v>45899.4344444444</v>
      </c>
      <c r="C111" s="3">
        <v>45899.444016203699</v>
      </c>
      <c r="D111" s="4" t="s">
        <v>49</v>
      </c>
      <c r="E111" s="4" t="s">
        <v>50</v>
      </c>
      <c r="F111" s="5" t="s">
        <v>372</v>
      </c>
      <c r="G111" s="4" t="s">
        <v>52</v>
      </c>
      <c r="H111" s="2">
        <v>45875</v>
      </c>
      <c r="I111" s="4" t="s">
        <v>53</v>
      </c>
      <c r="J111" s="4" t="s">
        <v>85</v>
      </c>
      <c r="K111" s="4" t="s">
        <v>215</v>
      </c>
      <c r="L111" s="4" t="s">
        <v>56</v>
      </c>
      <c r="M111">
        <v>8</v>
      </c>
      <c r="N111">
        <v>9</v>
      </c>
      <c r="O111">
        <v>10</v>
      </c>
      <c r="P111">
        <v>11</v>
      </c>
      <c r="Q111">
        <v>12</v>
      </c>
      <c r="R111">
        <v>7</v>
      </c>
      <c r="S111">
        <v>1</v>
      </c>
      <c r="T111">
        <v>3</v>
      </c>
      <c r="U111">
        <v>2</v>
      </c>
      <c r="V111">
        <v>5</v>
      </c>
      <c r="W111">
        <v>4</v>
      </c>
      <c r="X111">
        <v>6</v>
      </c>
      <c r="Y111">
        <f>COUNTA(OfficeForms.Table[[#This Row],[elements_shelters]:[elements_restspots]])</f>
        <v>12</v>
      </c>
      <c r="Z111">
        <v>3</v>
      </c>
      <c r="AA111">
        <v>5</v>
      </c>
      <c r="AB111">
        <v>4</v>
      </c>
      <c r="AC111">
        <v>1</v>
      </c>
      <c r="AD111">
        <v>7</v>
      </c>
      <c r="AE111">
        <v>6</v>
      </c>
      <c r="AF111">
        <v>8</v>
      </c>
      <c r="AG111">
        <v>2</v>
      </c>
      <c r="AH111">
        <f>COUNTA(OfficeForms.Table[[#This Row],[pnuw_walktrails]:[pnuw_restspots]])</f>
        <v>8</v>
      </c>
      <c r="AI111" s="4" t="s">
        <v>373</v>
      </c>
      <c r="AJ111" s="4" t="s">
        <v>72</v>
      </c>
      <c r="AK111" s="4" t="s">
        <v>59</v>
      </c>
      <c r="AL111" s="4" t="s">
        <v>60</v>
      </c>
      <c r="AM111" s="4"/>
      <c r="AN111" s="4" t="s">
        <v>111</v>
      </c>
      <c r="AO111" s="4"/>
      <c r="AP111" s="4" t="s">
        <v>59</v>
      </c>
      <c r="AQ111" s="4" t="s">
        <v>263</v>
      </c>
      <c r="AR111" s="4" t="s">
        <v>111</v>
      </c>
      <c r="AS111" s="4"/>
      <c r="AT111" s="4" t="s">
        <v>81</v>
      </c>
      <c r="AU111" s="4" t="s">
        <v>73</v>
      </c>
      <c r="AV111" s="4" t="s">
        <v>99</v>
      </c>
      <c r="AW111" s="4" t="s">
        <v>374</v>
      </c>
      <c r="AX111" s="4" t="s">
        <v>375</v>
      </c>
      <c r="AY111" s="5"/>
    </row>
    <row r="112" spans="1:51" hidden="1" x14ac:dyDescent="0.3">
      <c r="A112">
        <v>111</v>
      </c>
      <c r="B112" s="3">
        <v>45899.444039351903</v>
      </c>
      <c r="C112" s="3">
        <v>45899.444826388899</v>
      </c>
      <c r="D112" s="4" t="s">
        <v>49</v>
      </c>
      <c r="E112" s="4" t="s">
        <v>50</v>
      </c>
      <c r="F112" s="5" t="s">
        <v>376</v>
      </c>
      <c r="G112" s="4" t="s">
        <v>52</v>
      </c>
      <c r="H112" s="2">
        <v>45875</v>
      </c>
      <c r="I112" s="4" t="s">
        <v>53</v>
      </c>
      <c r="J112" s="4" t="s">
        <v>85</v>
      </c>
      <c r="K112" s="4" t="s">
        <v>78</v>
      </c>
      <c r="L112" s="4" t="s">
        <v>56</v>
      </c>
      <c r="Y112">
        <f>COUNTA(OfficeForms.Table[[#This Row],[elements_shelters]:[elements_restspots]])</f>
        <v>0</v>
      </c>
      <c r="AH112">
        <f>COUNTA(OfficeForms.Table[[#This Row],[pnuw_walktrails]:[pnuw_restspots]])</f>
        <v>0</v>
      </c>
      <c r="AI112" s="4" t="s">
        <v>117</v>
      </c>
      <c r="AJ112" s="4" t="s">
        <v>88</v>
      </c>
      <c r="AK112" s="4" t="s">
        <v>60</v>
      </c>
      <c r="AL112" s="4"/>
      <c r="AM112" s="4"/>
      <c r="AN112" s="4"/>
      <c r="AO112" s="4"/>
      <c r="AP112" s="4"/>
      <c r="AQ112" s="4"/>
      <c r="AR112" s="4"/>
      <c r="AS112" s="4"/>
      <c r="AT112" s="4" t="s">
        <v>63</v>
      </c>
      <c r="AU112" s="4" t="s">
        <v>73</v>
      </c>
      <c r="AV112" s="4" t="s">
        <v>99</v>
      </c>
      <c r="AW112" s="4" t="s">
        <v>377</v>
      </c>
      <c r="AX112" s="4" t="s">
        <v>378</v>
      </c>
      <c r="AY112" s="5"/>
    </row>
    <row r="113" spans="1:51" hidden="1" x14ac:dyDescent="0.3">
      <c r="A113">
        <v>112</v>
      </c>
      <c r="B113" s="3">
        <v>45899.4448611111</v>
      </c>
      <c r="C113" s="3">
        <v>45899.446550925903</v>
      </c>
      <c r="D113" s="4" t="s">
        <v>49</v>
      </c>
      <c r="E113" s="4" t="s">
        <v>50</v>
      </c>
      <c r="F113" s="5" t="s">
        <v>379</v>
      </c>
      <c r="G113" s="4" t="s">
        <v>52</v>
      </c>
      <c r="H113" s="2">
        <v>45873</v>
      </c>
      <c r="I113" s="4" t="s">
        <v>53</v>
      </c>
      <c r="J113" s="4" t="s">
        <v>54</v>
      </c>
      <c r="K113" s="4" t="s">
        <v>55</v>
      </c>
      <c r="L113" s="4" t="s">
        <v>86</v>
      </c>
      <c r="M113">
        <v>12</v>
      </c>
      <c r="N113">
        <v>2</v>
      </c>
      <c r="O113">
        <v>1</v>
      </c>
      <c r="P113">
        <v>3</v>
      </c>
      <c r="Q113">
        <v>10</v>
      </c>
      <c r="R113">
        <v>9</v>
      </c>
      <c r="S113">
        <v>8</v>
      </c>
      <c r="T113">
        <v>5</v>
      </c>
      <c r="U113">
        <v>4</v>
      </c>
      <c r="V113">
        <v>11</v>
      </c>
      <c r="W113">
        <v>6</v>
      </c>
      <c r="X113">
        <v>7</v>
      </c>
      <c r="Y113">
        <f>COUNTA(OfficeForms.Table[[#This Row],[elements_shelters]:[elements_restspots]])</f>
        <v>12</v>
      </c>
      <c r="Z113">
        <v>6</v>
      </c>
      <c r="AA113">
        <v>3</v>
      </c>
      <c r="AB113">
        <v>5</v>
      </c>
      <c r="AC113">
        <v>4</v>
      </c>
      <c r="AD113">
        <v>7</v>
      </c>
      <c r="AE113">
        <v>8</v>
      </c>
      <c r="AF113">
        <v>2</v>
      </c>
      <c r="AG113">
        <v>1</v>
      </c>
      <c r="AH113">
        <f>COUNTA(OfficeForms.Table[[#This Row],[pnuw_walktrails]:[pnuw_restspots]])</f>
        <v>8</v>
      </c>
      <c r="AI113" s="4" t="s">
        <v>380</v>
      </c>
      <c r="AJ113" s="4" t="s">
        <v>80</v>
      </c>
      <c r="AK113" s="4" t="s">
        <v>59</v>
      </c>
      <c r="AL113" s="4" t="s">
        <v>60</v>
      </c>
      <c r="AM113" s="4"/>
      <c r="AN113" s="4" t="s">
        <v>61</v>
      </c>
      <c r="AO113" s="4"/>
      <c r="AP113" s="4" t="s">
        <v>59</v>
      </c>
      <c r="AQ113" s="4" t="s">
        <v>263</v>
      </c>
      <c r="AR113" s="4" t="s">
        <v>61</v>
      </c>
      <c r="AS113" s="4"/>
      <c r="AT113" s="4" t="s">
        <v>63</v>
      </c>
      <c r="AU113" s="4" t="s">
        <v>73</v>
      </c>
      <c r="AV113" s="4" t="s">
        <v>74</v>
      </c>
      <c r="AW113" s="4" t="s">
        <v>112</v>
      </c>
      <c r="AX113" s="4" t="s">
        <v>76</v>
      </c>
      <c r="AY113" s="5"/>
    </row>
    <row r="114" spans="1:51" hidden="1" x14ac:dyDescent="0.3">
      <c r="A114">
        <v>113</v>
      </c>
      <c r="B114" s="3">
        <v>45899.446678240703</v>
      </c>
      <c r="C114" s="3">
        <v>45899.452187499999</v>
      </c>
      <c r="D114" s="4" t="s">
        <v>49</v>
      </c>
      <c r="E114" s="4" t="s">
        <v>50</v>
      </c>
      <c r="F114" s="5" t="s">
        <v>381</v>
      </c>
      <c r="G114" s="4" t="s">
        <v>52</v>
      </c>
      <c r="H114" s="2">
        <v>45874</v>
      </c>
      <c r="I114" s="4" t="s">
        <v>53</v>
      </c>
      <c r="J114" s="4" t="s">
        <v>85</v>
      </c>
      <c r="K114" s="4" t="s">
        <v>78</v>
      </c>
      <c r="L114" s="4" t="s">
        <v>86</v>
      </c>
      <c r="M114">
        <v>12</v>
      </c>
      <c r="N114">
        <v>4</v>
      </c>
      <c r="O114">
        <v>5</v>
      </c>
      <c r="P114">
        <v>7</v>
      </c>
      <c r="Q114">
        <v>11</v>
      </c>
      <c r="R114">
        <v>2</v>
      </c>
      <c r="S114">
        <v>8</v>
      </c>
      <c r="T114">
        <v>9</v>
      </c>
      <c r="U114">
        <v>4</v>
      </c>
      <c r="V114">
        <v>10</v>
      </c>
      <c r="W114">
        <v>3</v>
      </c>
      <c r="X114">
        <v>1</v>
      </c>
      <c r="Y114">
        <f>COUNTA(OfficeForms.Table[[#This Row],[elements_shelters]:[elements_restspots]])</f>
        <v>12</v>
      </c>
      <c r="Z114">
        <v>4</v>
      </c>
      <c r="AA114">
        <v>2</v>
      </c>
      <c r="AB114">
        <v>3</v>
      </c>
      <c r="AC114">
        <v>5</v>
      </c>
      <c r="AD114">
        <v>6</v>
      </c>
      <c r="AE114">
        <v>7</v>
      </c>
      <c r="AF114">
        <v>1</v>
      </c>
      <c r="AG114">
        <v>8</v>
      </c>
      <c r="AH114">
        <f>COUNTA(OfficeForms.Table[[#This Row],[pnuw_walktrails]:[pnuw_restspots]])</f>
        <v>8</v>
      </c>
      <c r="AI114" s="4" t="s">
        <v>382</v>
      </c>
      <c r="AJ114" s="4" t="s">
        <v>58</v>
      </c>
      <c r="AK114" s="4" t="s">
        <v>59</v>
      </c>
      <c r="AL114" s="4" t="s">
        <v>60</v>
      </c>
      <c r="AM114" s="4"/>
      <c r="AN114" s="4" t="s">
        <v>174</v>
      </c>
      <c r="AO114" s="4"/>
      <c r="AP114" s="4" t="s">
        <v>59</v>
      </c>
      <c r="AQ114" s="4" t="s">
        <v>383</v>
      </c>
      <c r="AR114" s="4" t="s">
        <v>174</v>
      </c>
      <c r="AS114" s="4"/>
      <c r="AT114" s="4" t="s">
        <v>81</v>
      </c>
      <c r="AU114" s="4" t="s">
        <v>73</v>
      </c>
      <c r="AV114" s="4" t="s">
        <v>82</v>
      </c>
      <c r="AW114" s="4" t="s">
        <v>83</v>
      </c>
      <c r="AX114" s="4" t="s">
        <v>67</v>
      </c>
      <c r="AY114" s="5"/>
    </row>
    <row r="115" spans="1:51" hidden="1" x14ac:dyDescent="0.3">
      <c r="A115">
        <v>114</v>
      </c>
      <c r="B115" s="3">
        <v>45899.4536226852</v>
      </c>
      <c r="C115" s="3">
        <v>45899.453784722202</v>
      </c>
      <c r="D115" s="4" t="s">
        <v>49</v>
      </c>
      <c r="E115" s="4" t="s">
        <v>50</v>
      </c>
      <c r="F115" s="5" t="s">
        <v>384</v>
      </c>
      <c r="G115" s="4" t="s">
        <v>52</v>
      </c>
      <c r="H115" s="2">
        <v>45875</v>
      </c>
      <c r="I115" s="4" t="s">
        <v>53</v>
      </c>
      <c r="J115" s="4" t="s">
        <v>85</v>
      </c>
      <c r="K115" s="4" t="s">
        <v>78</v>
      </c>
      <c r="L115" s="4" t="s">
        <v>56</v>
      </c>
      <c r="M115">
        <v>8</v>
      </c>
      <c r="N115">
        <v>2</v>
      </c>
      <c r="O115">
        <v>7</v>
      </c>
      <c r="P115">
        <v>5</v>
      </c>
      <c r="Q115">
        <v>12</v>
      </c>
      <c r="R115">
        <v>1</v>
      </c>
      <c r="S115">
        <v>3</v>
      </c>
      <c r="T115">
        <v>10</v>
      </c>
      <c r="U115">
        <v>4</v>
      </c>
      <c r="V115">
        <v>11</v>
      </c>
      <c r="W115">
        <v>6</v>
      </c>
      <c r="X115">
        <v>9</v>
      </c>
      <c r="Y115">
        <f>COUNTA(OfficeForms.Table[[#This Row],[elements_shelters]:[elements_restspots]])</f>
        <v>12</v>
      </c>
      <c r="Z115">
        <v>3</v>
      </c>
      <c r="AA115">
        <v>6</v>
      </c>
      <c r="AB115">
        <v>7</v>
      </c>
      <c r="AC115">
        <v>1</v>
      </c>
      <c r="AD115">
        <v>2</v>
      </c>
      <c r="AE115">
        <v>8</v>
      </c>
      <c r="AF115">
        <v>5</v>
      </c>
      <c r="AG115">
        <v>4</v>
      </c>
      <c r="AH115">
        <f>COUNTA(OfficeForms.Table[[#This Row],[pnuw_walktrails]:[pnuw_restspots]])</f>
        <v>8</v>
      </c>
      <c r="AI115" s="4" t="s">
        <v>385</v>
      </c>
      <c r="AJ115" s="4" t="s">
        <v>88</v>
      </c>
      <c r="AK115" s="4" t="s">
        <v>59</v>
      </c>
      <c r="AL115" s="4" t="s">
        <v>60</v>
      </c>
      <c r="AM115" s="4"/>
      <c r="AN115" s="4" t="s">
        <v>61</v>
      </c>
      <c r="AO115" s="4"/>
      <c r="AP115" s="4" t="s">
        <v>59</v>
      </c>
      <c r="AQ115" s="4" t="s">
        <v>328</v>
      </c>
      <c r="AR115" s="4" t="s">
        <v>61</v>
      </c>
      <c r="AS115" s="4"/>
      <c r="AT115" s="4" t="s">
        <v>81</v>
      </c>
      <c r="AU115" s="4" t="s">
        <v>73</v>
      </c>
      <c r="AV115" s="4" t="s">
        <v>99</v>
      </c>
      <c r="AW115" s="4" t="s">
        <v>291</v>
      </c>
      <c r="AX115" s="4" t="s">
        <v>291</v>
      </c>
      <c r="AY115" s="5"/>
    </row>
    <row r="116" spans="1:51" hidden="1" x14ac:dyDescent="0.3">
      <c r="A116">
        <v>115</v>
      </c>
      <c r="B116" s="3">
        <v>45899.453807870399</v>
      </c>
      <c r="C116" s="3">
        <v>45899.455069444397</v>
      </c>
      <c r="D116" s="4" t="s">
        <v>49</v>
      </c>
      <c r="E116" s="4" t="s">
        <v>50</v>
      </c>
      <c r="F116" s="5" t="s">
        <v>386</v>
      </c>
      <c r="G116" s="4" t="s">
        <v>52</v>
      </c>
      <c r="H116" s="2">
        <v>45875</v>
      </c>
      <c r="I116" s="4" t="s">
        <v>53</v>
      </c>
      <c r="J116" s="4" t="s">
        <v>85</v>
      </c>
      <c r="K116" s="4" t="s">
        <v>78</v>
      </c>
      <c r="L116" s="4" t="s">
        <v>56</v>
      </c>
      <c r="N116">
        <v>4</v>
      </c>
      <c r="O116">
        <v>5</v>
      </c>
      <c r="R116">
        <v>1</v>
      </c>
      <c r="S116">
        <v>8</v>
      </c>
      <c r="T116">
        <v>7</v>
      </c>
      <c r="U116">
        <v>6</v>
      </c>
      <c r="W116">
        <v>2</v>
      </c>
      <c r="X116">
        <v>3</v>
      </c>
      <c r="Y116">
        <f>COUNTA(OfficeForms.Table[[#This Row],[elements_shelters]:[elements_restspots]])</f>
        <v>8</v>
      </c>
      <c r="Z116">
        <v>1</v>
      </c>
      <c r="AA116">
        <v>3</v>
      </c>
      <c r="AB116">
        <v>8</v>
      </c>
      <c r="AC116">
        <v>2</v>
      </c>
      <c r="AD116">
        <v>6</v>
      </c>
      <c r="AE116">
        <v>7</v>
      </c>
      <c r="AF116">
        <v>5</v>
      </c>
      <c r="AG116">
        <v>4</v>
      </c>
      <c r="AH116">
        <f>COUNTA(OfficeForms.Table[[#This Row],[pnuw_walktrails]:[pnuw_restspots]])</f>
        <v>8</v>
      </c>
      <c r="AI116" s="4" t="s">
        <v>117</v>
      </c>
      <c r="AJ116" s="4" t="s">
        <v>80</v>
      </c>
      <c r="AK116" s="4" t="s">
        <v>59</v>
      </c>
      <c r="AL116" s="4" t="s">
        <v>60</v>
      </c>
      <c r="AM116" s="4"/>
      <c r="AN116" s="4" t="s">
        <v>61</v>
      </c>
      <c r="AO116" s="4"/>
      <c r="AP116" s="4" t="s">
        <v>59</v>
      </c>
      <c r="AQ116" s="4" t="s">
        <v>387</v>
      </c>
      <c r="AR116" s="4" t="s">
        <v>61</v>
      </c>
      <c r="AS116" s="4"/>
      <c r="AT116" s="4" t="s">
        <v>63</v>
      </c>
      <c r="AU116" s="4" t="s">
        <v>64</v>
      </c>
      <c r="AV116" s="4" t="s">
        <v>99</v>
      </c>
      <c r="AW116" s="4" t="s">
        <v>291</v>
      </c>
      <c r="AX116" s="4" t="s">
        <v>291</v>
      </c>
      <c r="AY116" s="5"/>
    </row>
    <row r="117" spans="1:51" hidden="1" x14ac:dyDescent="0.3">
      <c r="A117">
        <v>116</v>
      </c>
      <c r="B117" s="3">
        <v>45899.455115740697</v>
      </c>
      <c r="C117" s="3">
        <v>45899.456261574102</v>
      </c>
      <c r="D117" s="4" t="s">
        <v>49</v>
      </c>
      <c r="E117" s="4" t="s">
        <v>50</v>
      </c>
      <c r="F117" s="5" t="s">
        <v>388</v>
      </c>
      <c r="G117" s="4" t="s">
        <v>52</v>
      </c>
      <c r="H117" s="2">
        <v>45879</v>
      </c>
      <c r="I117" s="4" t="s">
        <v>53</v>
      </c>
      <c r="J117" s="4" t="s">
        <v>85</v>
      </c>
      <c r="K117" s="4" t="s">
        <v>78</v>
      </c>
      <c r="L117" s="4" t="s">
        <v>56</v>
      </c>
      <c r="M117">
        <v>11</v>
      </c>
      <c r="N117">
        <v>4</v>
      </c>
      <c r="O117">
        <v>8</v>
      </c>
      <c r="P117">
        <v>3</v>
      </c>
      <c r="Q117">
        <v>12</v>
      </c>
      <c r="R117">
        <v>1</v>
      </c>
      <c r="S117">
        <v>5</v>
      </c>
      <c r="T117">
        <v>9</v>
      </c>
      <c r="U117">
        <v>10</v>
      </c>
      <c r="V117">
        <v>6</v>
      </c>
      <c r="W117">
        <v>7</v>
      </c>
      <c r="X117">
        <v>2</v>
      </c>
      <c r="Y117">
        <f>COUNTA(OfficeForms.Table[[#This Row],[elements_shelters]:[elements_restspots]])</f>
        <v>12</v>
      </c>
      <c r="Z117">
        <v>1</v>
      </c>
      <c r="AA117">
        <v>3</v>
      </c>
      <c r="AB117">
        <v>5</v>
      </c>
      <c r="AC117">
        <v>2</v>
      </c>
      <c r="AD117">
        <v>7</v>
      </c>
      <c r="AE117">
        <v>8</v>
      </c>
      <c r="AF117">
        <v>6</v>
      </c>
      <c r="AG117">
        <v>4</v>
      </c>
      <c r="AH117">
        <f>COUNTA(OfficeForms.Table[[#This Row],[pnuw_walktrails]:[pnuw_restspots]])</f>
        <v>8</v>
      </c>
      <c r="AI117" s="4" t="s">
        <v>117</v>
      </c>
      <c r="AJ117" s="4" t="s">
        <v>88</v>
      </c>
      <c r="AK117" s="4" t="s">
        <v>60</v>
      </c>
      <c r="AL117" s="4"/>
      <c r="AM117" s="4"/>
      <c r="AN117" s="4"/>
      <c r="AO117" s="4"/>
      <c r="AP117" s="4"/>
      <c r="AQ117" s="4"/>
      <c r="AR117" s="4"/>
      <c r="AS117" s="4"/>
      <c r="AT117" s="4" t="s">
        <v>81</v>
      </c>
      <c r="AU117" s="4" t="s">
        <v>142</v>
      </c>
      <c r="AV117" s="4" t="s">
        <v>125</v>
      </c>
      <c r="AW117" s="4" t="s">
        <v>83</v>
      </c>
      <c r="AX117" s="4" t="s">
        <v>67</v>
      </c>
      <c r="AY117" s="5"/>
    </row>
    <row r="118" spans="1:51" hidden="1" x14ac:dyDescent="0.3">
      <c r="A118">
        <v>117</v>
      </c>
      <c r="B118" s="3">
        <v>45899.456377314797</v>
      </c>
      <c r="C118" s="3">
        <v>45899.457743055602</v>
      </c>
      <c r="D118" s="4" t="s">
        <v>49</v>
      </c>
      <c r="E118" s="4" t="s">
        <v>50</v>
      </c>
      <c r="F118" s="5" t="s">
        <v>389</v>
      </c>
      <c r="G118" s="4" t="s">
        <v>52</v>
      </c>
      <c r="H118" s="2">
        <v>45876</v>
      </c>
      <c r="I118" s="4" t="s">
        <v>53</v>
      </c>
      <c r="J118" s="4" t="s">
        <v>85</v>
      </c>
      <c r="K118" s="4" t="s">
        <v>78</v>
      </c>
      <c r="L118" s="4" t="s">
        <v>56</v>
      </c>
      <c r="M118">
        <v>5</v>
      </c>
      <c r="N118">
        <v>2</v>
      </c>
      <c r="O118">
        <v>9</v>
      </c>
      <c r="P118">
        <v>11</v>
      </c>
      <c r="Q118">
        <v>12</v>
      </c>
      <c r="R118">
        <v>6</v>
      </c>
      <c r="S118">
        <v>3</v>
      </c>
      <c r="T118">
        <v>7</v>
      </c>
      <c r="U118">
        <v>4</v>
      </c>
      <c r="V118">
        <v>8</v>
      </c>
      <c r="W118">
        <v>6</v>
      </c>
      <c r="X118">
        <v>1</v>
      </c>
      <c r="Y118">
        <f>COUNTA(OfficeForms.Table[[#This Row],[elements_shelters]:[elements_restspots]])</f>
        <v>12</v>
      </c>
      <c r="AH118">
        <f>COUNTA(OfficeForms.Table[[#This Row],[pnuw_walktrails]:[pnuw_restspots]])</f>
        <v>0</v>
      </c>
      <c r="AI118" s="4" t="s">
        <v>117</v>
      </c>
      <c r="AJ118" s="4" t="s">
        <v>58</v>
      </c>
      <c r="AK118" s="4" t="s">
        <v>59</v>
      </c>
      <c r="AL118" s="4" t="s">
        <v>59</v>
      </c>
      <c r="AM118" s="4" t="s">
        <v>390</v>
      </c>
      <c r="AN118" s="4" t="s">
        <v>61</v>
      </c>
      <c r="AO118" s="4"/>
      <c r="AP118" s="4" t="s">
        <v>59</v>
      </c>
      <c r="AQ118" s="4" t="s">
        <v>391</v>
      </c>
      <c r="AR118" s="4" t="s">
        <v>174</v>
      </c>
      <c r="AS118" s="4"/>
      <c r="AT118" s="4" t="s">
        <v>81</v>
      </c>
      <c r="AU118" s="4" t="s">
        <v>73</v>
      </c>
      <c r="AV118" s="4" t="s">
        <v>125</v>
      </c>
      <c r="AW118" s="4" t="s">
        <v>392</v>
      </c>
      <c r="AX118" s="4" t="s">
        <v>392</v>
      </c>
      <c r="AY118" s="5"/>
    </row>
    <row r="119" spans="1:51" hidden="1" x14ac:dyDescent="0.3">
      <c r="A119">
        <v>118</v>
      </c>
      <c r="B119" s="3">
        <v>45899.457789351902</v>
      </c>
      <c r="C119" s="3">
        <v>45899.459988425901</v>
      </c>
      <c r="D119" s="4" t="s">
        <v>49</v>
      </c>
      <c r="E119" s="4" t="s">
        <v>50</v>
      </c>
      <c r="F119" s="5" t="s">
        <v>393</v>
      </c>
      <c r="G119" s="4" t="s">
        <v>52</v>
      </c>
      <c r="H119" s="2">
        <v>45877</v>
      </c>
      <c r="I119" s="4" t="s">
        <v>53</v>
      </c>
      <c r="J119" s="4" t="s">
        <v>54</v>
      </c>
      <c r="K119" s="4" t="s">
        <v>55</v>
      </c>
      <c r="L119" s="4" t="s">
        <v>56</v>
      </c>
      <c r="M119">
        <v>10</v>
      </c>
      <c r="N119">
        <v>5</v>
      </c>
      <c r="O119">
        <v>6</v>
      </c>
      <c r="P119">
        <v>11</v>
      </c>
      <c r="Q119">
        <v>12</v>
      </c>
      <c r="R119">
        <v>4</v>
      </c>
      <c r="S119">
        <v>2</v>
      </c>
      <c r="T119">
        <v>5</v>
      </c>
      <c r="U119">
        <v>1</v>
      </c>
      <c r="V119">
        <v>8</v>
      </c>
      <c r="W119">
        <v>7</v>
      </c>
      <c r="X119">
        <v>3</v>
      </c>
      <c r="Y119">
        <f>COUNTA(OfficeForms.Table[[#This Row],[elements_shelters]:[elements_restspots]])</f>
        <v>12</v>
      </c>
      <c r="AH119">
        <f>COUNTA(OfficeForms.Table[[#This Row],[pnuw_walktrails]:[pnuw_restspots]])</f>
        <v>0</v>
      </c>
      <c r="AI119" s="4" t="s">
        <v>117</v>
      </c>
      <c r="AJ119" s="4" t="s">
        <v>72</v>
      </c>
      <c r="AK119" s="4" t="s">
        <v>59</v>
      </c>
      <c r="AL119" s="4" t="s">
        <v>60</v>
      </c>
      <c r="AM119" s="4"/>
      <c r="AN119" s="4" t="s">
        <v>61</v>
      </c>
      <c r="AO119" s="4"/>
      <c r="AP119" s="4" t="s">
        <v>60</v>
      </c>
      <c r="AQ119" s="4"/>
      <c r="AR119" s="4" t="s">
        <v>61</v>
      </c>
      <c r="AS119" s="4"/>
      <c r="AT119" s="4" t="s">
        <v>81</v>
      </c>
      <c r="AU119" s="4" t="s">
        <v>73</v>
      </c>
      <c r="AV119" s="4" t="s">
        <v>82</v>
      </c>
      <c r="AW119" s="4" t="s">
        <v>394</v>
      </c>
      <c r="AX119" s="4" t="s">
        <v>394</v>
      </c>
      <c r="AY119" s="5"/>
    </row>
    <row r="120" spans="1:51" hidden="1" x14ac:dyDescent="0.3">
      <c r="A120">
        <v>119</v>
      </c>
      <c r="B120" s="3">
        <v>45899.460023148102</v>
      </c>
      <c r="C120" s="3">
        <v>45899.461446759298</v>
      </c>
      <c r="D120" s="4" t="s">
        <v>49</v>
      </c>
      <c r="E120" s="4" t="s">
        <v>50</v>
      </c>
      <c r="F120" s="5" t="s">
        <v>395</v>
      </c>
      <c r="G120" s="4" t="s">
        <v>52</v>
      </c>
      <c r="H120" s="2">
        <v>45877</v>
      </c>
      <c r="I120" s="4" t="s">
        <v>53</v>
      </c>
      <c r="J120" s="4" t="s">
        <v>54</v>
      </c>
      <c r="K120" s="4" t="s">
        <v>78</v>
      </c>
      <c r="L120" s="4" t="s">
        <v>56</v>
      </c>
      <c r="M120">
        <v>11</v>
      </c>
      <c r="N120">
        <v>1</v>
      </c>
      <c r="O120">
        <v>2</v>
      </c>
      <c r="P120">
        <v>8</v>
      </c>
      <c r="Q120">
        <v>12</v>
      </c>
      <c r="R120">
        <v>6</v>
      </c>
      <c r="S120">
        <v>4</v>
      </c>
      <c r="T120">
        <v>9</v>
      </c>
      <c r="U120">
        <v>3</v>
      </c>
      <c r="V120">
        <v>10</v>
      </c>
      <c r="W120">
        <v>5</v>
      </c>
      <c r="X120">
        <v>7</v>
      </c>
      <c r="Y120">
        <f>COUNTA(OfficeForms.Table[[#This Row],[elements_shelters]:[elements_restspots]])</f>
        <v>12</v>
      </c>
      <c r="Z120">
        <v>3</v>
      </c>
      <c r="AA120">
        <v>2</v>
      </c>
      <c r="AB120">
        <v>7</v>
      </c>
      <c r="AC120">
        <v>1</v>
      </c>
      <c r="AD120">
        <v>4</v>
      </c>
      <c r="AE120">
        <v>8</v>
      </c>
      <c r="AF120">
        <v>6</v>
      </c>
      <c r="AG120">
        <v>5</v>
      </c>
      <c r="AH120">
        <f>COUNTA(OfficeForms.Table[[#This Row],[pnuw_walktrails]:[pnuw_restspots]])</f>
        <v>8</v>
      </c>
      <c r="AI120" s="4" t="s">
        <v>385</v>
      </c>
      <c r="AJ120" s="4" t="s">
        <v>72</v>
      </c>
      <c r="AK120" s="4" t="s">
        <v>59</v>
      </c>
      <c r="AL120" s="4" t="s">
        <v>60</v>
      </c>
      <c r="AM120" s="4"/>
      <c r="AN120" s="4" t="s">
        <v>61</v>
      </c>
      <c r="AO120" s="4"/>
      <c r="AP120" s="4" t="s">
        <v>59</v>
      </c>
      <c r="AQ120" s="4" t="s">
        <v>391</v>
      </c>
      <c r="AR120" s="4" t="s">
        <v>61</v>
      </c>
      <c r="AS120" s="4"/>
      <c r="AT120" s="4" t="s">
        <v>63</v>
      </c>
      <c r="AU120" s="4" t="s">
        <v>73</v>
      </c>
      <c r="AV120" s="4" t="s">
        <v>74</v>
      </c>
      <c r="AW120" s="4" t="s">
        <v>394</v>
      </c>
      <c r="AX120" s="4" t="s">
        <v>394</v>
      </c>
      <c r="AY120" s="5"/>
    </row>
    <row r="121" spans="1:51" hidden="1" x14ac:dyDescent="0.3">
      <c r="A121">
        <v>120</v>
      </c>
      <c r="B121" s="3">
        <v>45899.461504629602</v>
      </c>
      <c r="C121" s="3">
        <v>45899.462662037004</v>
      </c>
      <c r="D121" s="4" t="s">
        <v>49</v>
      </c>
      <c r="E121" s="4" t="s">
        <v>50</v>
      </c>
      <c r="F121" s="5" t="s">
        <v>396</v>
      </c>
      <c r="G121" s="4" t="s">
        <v>52</v>
      </c>
      <c r="H121" s="2">
        <v>45877</v>
      </c>
      <c r="I121" s="4" t="s">
        <v>53</v>
      </c>
      <c r="J121" s="4" t="s">
        <v>54</v>
      </c>
      <c r="K121" s="4" t="s">
        <v>55</v>
      </c>
      <c r="L121" s="4" t="s">
        <v>56</v>
      </c>
      <c r="M121">
        <v>9</v>
      </c>
      <c r="N121">
        <v>2</v>
      </c>
      <c r="O121">
        <v>8</v>
      </c>
      <c r="P121">
        <v>10</v>
      </c>
      <c r="Q121">
        <v>11</v>
      </c>
      <c r="R121">
        <v>7</v>
      </c>
      <c r="S121">
        <v>4</v>
      </c>
      <c r="T121">
        <v>5</v>
      </c>
      <c r="U121">
        <v>6</v>
      </c>
      <c r="V121">
        <v>12</v>
      </c>
      <c r="W121">
        <v>1</v>
      </c>
      <c r="X121">
        <v>3</v>
      </c>
      <c r="Y121">
        <f>COUNTA(OfficeForms.Table[[#This Row],[elements_shelters]:[elements_restspots]])</f>
        <v>12</v>
      </c>
      <c r="Z121">
        <v>1</v>
      </c>
      <c r="AA121">
        <v>7</v>
      </c>
      <c r="AB121">
        <v>8</v>
      </c>
      <c r="AC121">
        <v>3</v>
      </c>
      <c r="AD121">
        <v>4</v>
      </c>
      <c r="AE121">
        <v>6</v>
      </c>
      <c r="AF121">
        <v>5</v>
      </c>
      <c r="AG121">
        <v>2</v>
      </c>
      <c r="AH121">
        <f>COUNTA(OfficeForms.Table[[#This Row],[pnuw_walktrails]:[pnuw_restspots]])</f>
        <v>8</v>
      </c>
      <c r="AI121" s="4" t="s">
        <v>397</v>
      </c>
      <c r="AJ121" s="4" t="s">
        <v>80</v>
      </c>
      <c r="AK121" s="4" t="s">
        <v>60</v>
      </c>
      <c r="AL121" s="4"/>
      <c r="AM121" s="4"/>
      <c r="AN121" s="4"/>
      <c r="AO121" s="4"/>
      <c r="AP121" s="4"/>
      <c r="AQ121" s="4"/>
      <c r="AR121" s="4"/>
      <c r="AS121" s="4"/>
      <c r="AT121" s="4" t="s">
        <v>63</v>
      </c>
      <c r="AU121" s="4" t="s">
        <v>73</v>
      </c>
      <c r="AV121" s="4" t="s">
        <v>65</v>
      </c>
      <c r="AW121" s="4" t="s">
        <v>398</v>
      </c>
      <c r="AX121" s="4" t="s">
        <v>115</v>
      </c>
      <c r="AY121" s="5"/>
    </row>
    <row r="122" spans="1:51" hidden="1" x14ac:dyDescent="0.3">
      <c r="A122">
        <v>121</v>
      </c>
      <c r="B122" s="3">
        <v>45899.462696759299</v>
      </c>
      <c r="C122" s="3">
        <v>45899.464849536998</v>
      </c>
      <c r="D122" s="4" t="s">
        <v>49</v>
      </c>
      <c r="E122" s="4" t="s">
        <v>50</v>
      </c>
      <c r="F122" s="5" t="s">
        <v>399</v>
      </c>
      <c r="G122" s="4" t="s">
        <v>52</v>
      </c>
      <c r="H122" s="2">
        <v>45877</v>
      </c>
      <c r="I122" s="4" t="s">
        <v>53</v>
      </c>
      <c r="J122" s="4" t="s">
        <v>54</v>
      </c>
      <c r="K122" s="4" t="s">
        <v>103</v>
      </c>
      <c r="L122" s="4" t="s">
        <v>86</v>
      </c>
      <c r="M122">
        <v>6</v>
      </c>
      <c r="N122">
        <v>2</v>
      </c>
      <c r="O122">
        <v>1</v>
      </c>
      <c r="P122">
        <v>3</v>
      </c>
      <c r="Q122">
        <v>12</v>
      </c>
      <c r="R122">
        <v>5</v>
      </c>
      <c r="S122">
        <v>7</v>
      </c>
      <c r="T122">
        <v>11</v>
      </c>
      <c r="U122">
        <v>10</v>
      </c>
      <c r="V122">
        <v>5</v>
      </c>
      <c r="W122">
        <v>8</v>
      </c>
      <c r="X122">
        <v>4</v>
      </c>
      <c r="Y122">
        <f>COUNTA(OfficeForms.Table[[#This Row],[elements_shelters]:[elements_restspots]])</f>
        <v>12</v>
      </c>
      <c r="AH122">
        <f>COUNTA(OfficeForms.Table[[#This Row],[pnuw_walktrails]:[pnuw_restspots]])</f>
        <v>0</v>
      </c>
      <c r="AI122" s="4" t="s">
        <v>400</v>
      </c>
      <c r="AJ122" s="4" t="s">
        <v>88</v>
      </c>
      <c r="AK122" s="4" t="s">
        <v>59</v>
      </c>
      <c r="AL122" s="4" t="s">
        <v>60</v>
      </c>
      <c r="AM122" s="4"/>
      <c r="AN122" s="4" t="s">
        <v>61</v>
      </c>
      <c r="AO122" s="4"/>
      <c r="AP122" s="4" t="s">
        <v>59</v>
      </c>
      <c r="AQ122" s="4" t="s">
        <v>269</v>
      </c>
      <c r="AR122" s="4" t="s">
        <v>61</v>
      </c>
      <c r="AS122" s="4"/>
      <c r="AT122" s="4" t="s">
        <v>81</v>
      </c>
      <c r="AU122" s="4" t="s">
        <v>73</v>
      </c>
      <c r="AV122" s="4" t="s">
        <v>125</v>
      </c>
      <c r="AW122" s="4" t="s">
        <v>95</v>
      </c>
      <c r="AX122" s="4" t="s">
        <v>95</v>
      </c>
      <c r="AY122" s="5"/>
    </row>
    <row r="123" spans="1:51" hidden="1" x14ac:dyDescent="0.3">
      <c r="A123">
        <v>122</v>
      </c>
      <c r="B123" s="3">
        <v>45899.465011574102</v>
      </c>
      <c r="C123" s="3">
        <v>45899.4663657407</v>
      </c>
      <c r="D123" s="4" t="s">
        <v>49</v>
      </c>
      <c r="E123" s="4" t="s">
        <v>50</v>
      </c>
      <c r="F123" s="5" t="s">
        <v>401</v>
      </c>
      <c r="G123" s="4" t="s">
        <v>52</v>
      </c>
      <c r="H123" s="2">
        <v>45876</v>
      </c>
      <c r="I123" s="4" t="s">
        <v>53</v>
      </c>
      <c r="J123" s="4" t="s">
        <v>85</v>
      </c>
      <c r="K123" s="4" t="s">
        <v>78</v>
      </c>
      <c r="L123" s="4" t="s">
        <v>56</v>
      </c>
      <c r="M123">
        <v>11</v>
      </c>
      <c r="N123">
        <v>1</v>
      </c>
      <c r="O123">
        <v>4</v>
      </c>
      <c r="P123">
        <v>3</v>
      </c>
      <c r="Q123">
        <v>10</v>
      </c>
      <c r="R123">
        <v>5</v>
      </c>
      <c r="S123">
        <v>8</v>
      </c>
      <c r="T123">
        <v>9</v>
      </c>
      <c r="U123">
        <v>7</v>
      </c>
      <c r="V123">
        <v>12</v>
      </c>
      <c r="W123">
        <v>2</v>
      </c>
      <c r="X123">
        <v>6</v>
      </c>
      <c r="Y123">
        <f>COUNTA(OfficeForms.Table[[#This Row],[elements_shelters]:[elements_restspots]])</f>
        <v>12</v>
      </c>
      <c r="Z123">
        <v>1</v>
      </c>
      <c r="AA123">
        <v>7</v>
      </c>
      <c r="AB123">
        <v>4</v>
      </c>
      <c r="AC123">
        <v>2</v>
      </c>
      <c r="AD123">
        <v>5</v>
      </c>
      <c r="AE123">
        <v>8</v>
      </c>
      <c r="AF123">
        <v>6</v>
      </c>
      <c r="AG123">
        <v>3</v>
      </c>
      <c r="AH123">
        <f>COUNTA(OfficeForms.Table[[#This Row],[pnuw_walktrails]:[pnuw_restspots]])</f>
        <v>8</v>
      </c>
      <c r="AI123" s="4" t="s">
        <v>402</v>
      </c>
      <c r="AJ123" s="4" t="s">
        <v>72</v>
      </c>
      <c r="AK123" s="4" t="s">
        <v>60</v>
      </c>
      <c r="AL123" s="4"/>
      <c r="AM123" s="4"/>
      <c r="AN123" s="4"/>
      <c r="AO123" s="4"/>
      <c r="AP123" s="4"/>
      <c r="AQ123" s="4"/>
      <c r="AR123" s="4"/>
      <c r="AS123" s="4"/>
      <c r="AT123" s="4" t="s">
        <v>63</v>
      </c>
      <c r="AU123" s="4" t="s">
        <v>73</v>
      </c>
      <c r="AV123" s="4" t="s">
        <v>125</v>
      </c>
      <c r="AW123" s="4" t="s">
        <v>403</v>
      </c>
      <c r="AX123" s="4" t="s">
        <v>403</v>
      </c>
      <c r="AY123" s="5"/>
    </row>
    <row r="124" spans="1:51" hidden="1" x14ac:dyDescent="0.3">
      <c r="A124">
        <v>123</v>
      </c>
      <c r="B124" s="3">
        <v>45899.466469907398</v>
      </c>
      <c r="C124" s="3">
        <v>45899.479212963</v>
      </c>
      <c r="D124" s="4" t="s">
        <v>49</v>
      </c>
      <c r="E124" s="4" t="s">
        <v>50</v>
      </c>
      <c r="F124" s="5" t="s">
        <v>404</v>
      </c>
      <c r="G124" s="4" t="s">
        <v>52</v>
      </c>
      <c r="H124" s="2">
        <v>45876</v>
      </c>
      <c r="I124" s="4" t="s">
        <v>53</v>
      </c>
      <c r="J124" s="4" t="s">
        <v>69</v>
      </c>
      <c r="K124" s="4" t="s">
        <v>78</v>
      </c>
      <c r="L124" s="4" t="s">
        <v>56</v>
      </c>
      <c r="Y124">
        <f>COUNTA(OfficeForms.Table[[#This Row],[elements_shelters]:[elements_restspots]])</f>
        <v>0</v>
      </c>
      <c r="AH124">
        <f>COUNTA(OfficeForms.Table[[#This Row],[pnuw_walktrails]:[pnuw_restspots]])</f>
        <v>0</v>
      </c>
      <c r="AI124" s="4" t="s">
        <v>117</v>
      </c>
      <c r="AJ124" s="4" t="s">
        <v>80</v>
      </c>
      <c r="AK124" s="4" t="s">
        <v>60</v>
      </c>
      <c r="AL124" s="4"/>
      <c r="AM124" s="4"/>
      <c r="AN124" s="4"/>
      <c r="AO124" s="4"/>
      <c r="AP124" s="4"/>
      <c r="AQ124" s="4"/>
      <c r="AR124" s="4"/>
      <c r="AS124" s="4"/>
      <c r="AT124" s="4" t="s">
        <v>63</v>
      </c>
      <c r="AU124" s="4" t="s">
        <v>73</v>
      </c>
      <c r="AV124" s="4" t="s">
        <v>82</v>
      </c>
      <c r="AW124" s="4" t="s">
        <v>405</v>
      </c>
      <c r="AX124" s="4" t="s">
        <v>228</v>
      </c>
      <c r="AY124" s="5"/>
    </row>
    <row r="125" spans="1:51" hidden="1" x14ac:dyDescent="0.3">
      <c r="A125">
        <v>124</v>
      </c>
      <c r="B125" s="3">
        <v>45899.479421296302</v>
      </c>
      <c r="C125" s="3">
        <v>45899.481307870403</v>
      </c>
      <c r="D125" s="4" t="s">
        <v>49</v>
      </c>
      <c r="E125" s="4" t="s">
        <v>50</v>
      </c>
      <c r="F125" s="5" t="s">
        <v>406</v>
      </c>
      <c r="G125" s="4" t="s">
        <v>52</v>
      </c>
      <c r="H125" s="2">
        <v>45876</v>
      </c>
      <c r="I125" s="4" t="s">
        <v>53</v>
      </c>
      <c r="J125" s="4" t="s">
        <v>85</v>
      </c>
      <c r="K125" s="4" t="s">
        <v>407</v>
      </c>
      <c r="L125" s="4" t="s">
        <v>56</v>
      </c>
      <c r="M125">
        <v>7</v>
      </c>
      <c r="N125">
        <v>1</v>
      </c>
      <c r="O125">
        <v>8</v>
      </c>
      <c r="P125">
        <v>4</v>
      </c>
      <c r="Q125">
        <v>11</v>
      </c>
      <c r="R125">
        <v>3</v>
      </c>
      <c r="S125">
        <v>2</v>
      </c>
      <c r="T125">
        <v>12</v>
      </c>
      <c r="U125">
        <v>5</v>
      </c>
      <c r="V125">
        <v>10</v>
      </c>
      <c r="W125">
        <v>9</v>
      </c>
      <c r="X125">
        <v>6</v>
      </c>
      <c r="Y125">
        <f>COUNTA(OfficeForms.Table[[#This Row],[elements_shelters]:[elements_restspots]])</f>
        <v>12</v>
      </c>
      <c r="Z125">
        <v>1</v>
      </c>
      <c r="AA125">
        <v>4</v>
      </c>
      <c r="AB125">
        <v>2</v>
      </c>
      <c r="AC125">
        <v>3</v>
      </c>
      <c r="AD125">
        <v>8</v>
      </c>
      <c r="AE125">
        <v>7</v>
      </c>
      <c r="AF125">
        <v>5</v>
      </c>
      <c r="AG125">
        <v>6</v>
      </c>
      <c r="AH125">
        <f>COUNTA(OfficeForms.Table[[#This Row],[pnuw_walktrails]:[pnuw_restspots]])</f>
        <v>8</v>
      </c>
      <c r="AI125" s="4" t="s">
        <v>408</v>
      </c>
      <c r="AJ125" s="4" t="s">
        <v>72</v>
      </c>
      <c r="AK125" s="4" t="s">
        <v>59</v>
      </c>
      <c r="AL125" s="4" t="s">
        <v>60</v>
      </c>
      <c r="AM125" s="4"/>
      <c r="AN125" s="4" t="s">
        <v>174</v>
      </c>
      <c r="AO125" s="4"/>
      <c r="AP125" s="4" t="s">
        <v>59</v>
      </c>
      <c r="AQ125" s="4" t="s">
        <v>254</v>
      </c>
      <c r="AR125" s="4" t="s">
        <v>174</v>
      </c>
      <c r="AS125" s="4" t="s">
        <v>409</v>
      </c>
      <c r="AT125" s="4" t="s">
        <v>63</v>
      </c>
      <c r="AU125" s="4" t="s">
        <v>73</v>
      </c>
      <c r="AV125" s="4" t="s">
        <v>82</v>
      </c>
      <c r="AW125" s="4" t="s">
        <v>374</v>
      </c>
      <c r="AX125" s="4" t="s">
        <v>375</v>
      </c>
      <c r="AY125" s="5"/>
    </row>
    <row r="126" spans="1:51" hidden="1" x14ac:dyDescent="0.3">
      <c r="A126">
        <v>125</v>
      </c>
      <c r="B126" s="3">
        <v>45899.481331018498</v>
      </c>
      <c r="C126" s="3">
        <v>45899.483148148203</v>
      </c>
      <c r="D126" s="4" t="s">
        <v>49</v>
      </c>
      <c r="E126" s="4" t="s">
        <v>50</v>
      </c>
      <c r="F126" s="5" t="s">
        <v>410</v>
      </c>
      <c r="G126" s="4" t="s">
        <v>52</v>
      </c>
      <c r="H126" s="2">
        <v>45876</v>
      </c>
      <c r="I126" s="4" t="s">
        <v>53</v>
      </c>
      <c r="J126" s="4" t="s">
        <v>85</v>
      </c>
      <c r="K126" s="4" t="s">
        <v>55</v>
      </c>
      <c r="L126" s="4" t="s">
        <v>86</v>
      </c>
      <c r="M126">
        <v>11</v>
      </c>
      <c r="N126">
        <v>10</v>
      </c>
      <c r="O126">
        <v>12</v>
      </c>
      <c r="P126">
        <v>5</v>
      </c>
      <c r="Q126">
        <v>6</v>
      </c>
      <c r="R126">
        <v>2</v>
      </c>
      <c r="S126">
        <v>7</v>
      </c>
      <c r="T126">
        <v>4</v>
      </c>
      <c r="U126">
        <v>3</v>
      </c>
      <c r="V126">
        <v>1</v>
      </c>
      <c r="W126">
        <v>8</v>
      </c>
      <c r="X126">
        <v>9</v>
      </c>
      <c r="Y126">
        <f>COUNTA(OfficeForms.Table[[#This Row],[elements_shelters]:[elements_restspots]])</f>
        <v>12</v>
      </c>
      <c r="Z126">
        <v>7</v>
      </c>
      <c r="AA126">
        <v>1</v>
      </c>
      <c r="AB126">
        <v>3</v>
      </c>
      <c r="AC126">
        <v>4</v>
      </c>
      <c r="AD126">
        <v>8</v>
      </c>
      <c r="AE126">
        <v>2</v>
      </c>
      <c r="AF126">
        <v>5</v>
      </c>
      <c r="AG126">
        <v>6</v>
      </c>
      <c r="AH126">
        <f>COUNTA(OfficeForms.Table[[#This Row],[pnuw_walktrails]:[pnuw_restspots]])</f>
        <v>8</v>
      </c>
      <c r="AI126" s="4" t="s">
        <v>117</v>
      </c>
      <c r="AJ126" s="4" t="s">
        <v>72</v>
      </c>
      <c r="AK126" s="4" t="s">
        <v>60</v>
      </c>
      <c r="AL126" s="4"/>
      <c r="AM126" s="4"/>
      <c r="AN126" s="4"/>
      <c r="AO126" s="4"/>
      <c r="AP126" s="4"/>
      <c r="AQ126" s="4"/>
      <c r="AR126" s="4"/>
      <c r="AS126" s="4"/>
      <c r="AT126" s="4" t="s">
        <v>63</v>
      </c>
      <c r="AU126" s="4" t="s">
        <v>64</v>
      </c>
      <c r="AV126" s="4" t="s">
        <v>65</v>
      </c>
      <c r="AW126" s="4" t="s">
        <v>411</v>
      </c>
      <c r="AX126" s="4" t="s">
        <v>412</v>
      </c>
      <c r="AY126" s="5"/>
    </row>
    <row r="127" spans="1:51" hidden="1" x14ac:dyDescent="0.3">
      <c r="A127">
        <v>126</v>
      </c>
      <c r="B127" s="3">
        <v>45899.483287037001</v>
      </c>
      <c r="C127" s="3">
        <v>45899.484432870398</v>
      </c>
      <c r="D127" s="4" t="s">
        <v>49</v>
      </c>
      <c r="E127" s="4" t="s">
        <v>50</v>
      </c>
      <c r="F127" s="5" t="s">
        <v>413</v>
      </c>
      <c r="G127" s="4" t="s">
        <v>52</v>
      </c>
      <c r="H127" s="2">
        <v>45876</v>
      </c>
      <c r="I127" s="4" t="s">
        <v>53</v>
      </c>
      <c r="J127" s="4" t="s">
        <v>54</v>
      </c>
      <c r="K127" s="4" t="s">
        <v>78</v>
      </c>
      <c r="L127" s="4" t="s">
        <v>70</v>
      </c>
      <c r="M127">
        <v>10</v>
      </c>
      <c r="N127">
        <v>9</v>
      </c>
      <c r="O127">
        <v>7</v>
      </c>
      <c r="P127">
        <v>8</v>
      </c>
      <c r="Q127">
        <v>11</v>
      </c>
      <c r="R127">
        <v>4</v>
      </c>
      <c r="S127">
        <v>1</v>
      </c>
      <c r="T127">
        <v>2</v>
      </c>
      <c r="U127">
        <v>6</v>
      </c>
      <c r="V127">
        <v>12</v>
      </c>
      <c r="W127">
        <v>3</v>
      </c>
      <c r="X127">
        <v>5</v>
      </c>
      <c r="Y127">
        <f>COUNTA(OfficeForms.Table[[#This Row],[elements_shelters]:[elements_restspots]])</f>
        <v>12</v>
      </c>
      <c r="Z127">
        <v>1</v>
      </c>
      <c r="AA127">
        <v>3</v>
      </c>
      <c r="AB127">
        <v>8</v>
      </c>
      <c r="AC127">
        <v>5</v>
      </c>
      <c r="AD127">
        <v>2</v>
      </c>
      <c r="AE127">
        <v>4</v>
      </c>
      <c r="AF127">
        <v>7</v>
      </c>
      <c r="AG127">
        <v>6</v>
      </c>
      <c r="AH127">
        <f>COUNTA(OfficeForms.Table[[#This Row],[pnuw_walktrails]:[pnuw_restspots]])</f>
        <v>8</v>
      </c>
      <c r="AI127" s="4" t="s">
        <v>414</v>
      </c>
      <c r="AJ127" s="4" t="s">
        <v>88</v>
      </c>
      <c r="AK127" s="4" t="s">
        <v>60</v>
      </c>
      <c r="AL127" s="4"/>
      <c r="AM127" s="4"/>
      <c r="AN127" s="4"/>
      <c r="AO127" s="4"/>
      <c r="AP127" s="4"/>
      <c r="AQ127" s="4"/>
      <c r="AR127" s="4"/>
      <c r="AS127" s="4"/>
      <c r="AT127" s="4" t="s">
        <v>81</v>
      </c>
      <c r="AU127" s="4" t="s">
        <v>73</v>
      </c>
      <c r="AV127" s="4" t="s">
        <v>74</v>
      </c>
      <c r="AW127" s="4" t="s">
        <v>415</v>
      </c>
      <c r="AX127" s="4" t="s">
        <v>416</v>
      </c>
      <c r="AY127" s="5"/>
    </row>
    <row r="128" spans="1:51" hidden="1" x14ac:dyDescent="0.3">
      <c r="A128">
        <v>127</v>
      </c>
      <c r="B128" s="3">
        <v>45899.484594907401</v>
      </c>
      <c r="C128" s="3">
        <v>45899.4859490741</v>
      </c>
      <c r="D128" s="4" t="s">
        <v>49</v>
      </c>
      <c r="E128" s="4" t="s">
        <v>50</v>
      </c>
      <c r="F128" s="5" t="s">
        <v>417</v>
      </c>
      <c r="G128" s="4" t="s">
        <v>52</v>
      </c>
      <c r="H128" s="2">
        <v>45876</v>
      </c>
      <c r="I128" s="4" t="s">
        <v>53</v>
      </c>
      <c r="J128" s="4" t="s">
        <v>85</v>
      </c>
      <c r="K128" s="4" t="s">
        <v>78</v>
      </c>
      <c r="L128" s="4" t="s">
        <v>56</v>
      </c>
      <c r="M128">
        <v>8</v>
      </c>
      <c r="N128">
        <v>1</v>
      </c>
      <c r="O128">
        <v>2</v>
      </c>
      <c r="P128">
        <v>7</v>
      </c>
      <c r="Q128">
        <v>12</v>
      </c>
      <c r="R128">
        <v>3</v>
      </c>
      <c r="S128">
        <v>4</v>
      </c>
      <c r="T128">
        <v>5</v>
      </c>
      <c r="U128">
        <v>6</v>
      </c>
      <c r="V128">
        <v>9</v>
      </c>
      <c r="W128">
        <v>10</v>
      </c>
      <c r="X128">
        <v>11</v>
      </c>
      <c r="Y128">
        <f>COUNTA(OfficeForms.Table[[#This Row],[elements_shelters]:[elements_restspots]])</f>
        <v>12</v>
      </c>
      <c r="Z128">
        <v>1</v>
      </c>
      <c r="AA128">
        <v>3</v>
      </c>
      <c r="AB128">
        <v>7</v>
      </c>
      <c r="AC128">
        <v>2</v>
      </c>
      <c r="AD128">
        <v>4</v>
      </c>
      <c r="AE128">
        <v>5</v>
      </c>
      <c r="AF128">
        <v>6</v>
      </c>
      <c r="AG128">
        <v>8</v>
      </c>
      <c r="AH128">
        <f>COUNTA(OfficeForms.Table[[#This Row],[pnuw_walktrails]:[pnuw_restspots]])</f>
        <v>8</v>
      </c>
      <c r="AI128" s="4" t="s">
        <v>117</v>
      </c>
      <c r="AJ128" s="4" t="s">
        <v>72</v>
      </c>
      <c r="AK128" s="4" t="s">
        <v>59</v>
      </c>
      <c r="AL128" s="4" t="s">
        <v>59</v>
      </c>
      <c r="AM128" s="4" t="s">
        <v>418</v>
      </c>
      <c r="AN128" s="4" t="s">
        <v>111</v>
      </c>
      <c r="AO128" s="4"/>
      <c r="AP128" s="4" t="s">
        <v>59</v>
      </c>
      <c r="AQ128" s="4" t="s">
        <v>290</v>
      </c>
      <c r="AR128" s="4" t="s">
        <v>111</v>
      </c>
      <c r="AS128" s="4"/>
      <c r="AT128" s="4" t="s">
        <v>63</v>
      </c>
      <c r="AU128" s="4" t="s">
        <v>73</v>
      </c>
      <c r="AV128" s="4" t="s">
        <v>125</v>
      </c>
      <c r="AW128" s="4" t="s">
        <v>392</v>
      </c>
      <c r="AX128" s="4" t="s">
        <v>392</v>
      </c>
      <c r="AY128" s="5"/>
    </row>
    <row r="129" spans="1:51" hidden="1" x14ac:dyDescent="0.3">
      <c r="A129">
        <v>128</v>
      </c>
      <c r="B129" s="3">
        <v>45899.486006944397</v>
      </c>
      <c r="C129" s="3">
        <v>45899.487928240698</v>
      </c>
      <c r="D129" s="4" t="s">
        <v>49</v>
      </c>
      <c r="E129" s="4" t="s">
        <v>50</v>
      </c>
      <c r="F129" s="5" t="s">
        <v>419</v>
      </c>
      <c r="G129" s="4" t="s">
        <v>52</v>
      </c>
      <c r="H129" s="2">
        <v>45878</v>
      </c>
      <c r="I129" s="4" t="s">
        <v>53</v>
      </c>
      <c r="J129" s="4" t="s">
        <v>85</v>
      </c>
      <c r="K129" s="4" t="s">
        <v>78</v>
      </c>
      <c r="L129" s="4" t="s">
        <v>56</v>
      </c>
      <c r="M129">
        <v>10</v>
      </c>
      <c r="N129">
        <v>2</v>
      </c>
      <c r="O129">
        <v>3</v>
      </c>
      <c r="P129">
        <v>5</v>
      </c>
      <c r="Q129">
        <v>11</v>
      </c>
      <c r="R129">
        <v>1</v>
      </c>
      <c r="S129">
        <v>7</v>
      </c>
      <c r="T129">
        <v>8</v>
      </c>
      <c r="U129">
        <v>9</v>
      </c>
      <c r="V129">
        <v>12</v>
      </c>
      <c r="W129">
        <v>6</v>
      </c>
      <c r="X129">
        <v>4</v>
      </c>
      <c r="Y129">
        <f>COUNTA(OfficeForms.Table[[#This Row],[elements_shelters]:[elements_restspots]])</f>
        <v>12</v>
      </c>
      <c r="Z129">
        <v>1</v>
      </c>
      <c r="AA129">
        <v>7</v>
      </c>
      <c r="AB129">
        <v>5</v>
      </c>
      <c r="AC129">
        <v>4</v>
      </c>
      <c r="AD129">
        <v>2</v>
      </c>
      <c r="AE129">
        <v>8</v>
      </c>
      <c r="AF129">
        <v>6</v>
      </c>
      <c r="AG129">
        <v>3</v>
      </c>
      <c r="AH129">
        <f>COUNTA(OfficeForms.Table[[#This Row],[pnuw_walktrails]:[pnuw_restspots]])</f>
        <v>8</v>
      </c>
      <c r="AI129" s="4" t="s">
        <v>420</v>
      </c>
      <c r="AJ129" s="4" t="s">
        <v>58</v>
      </c>
      <c r="AK129" s="4" t="s">
        <v>59</v>
      </c>
      <c r="AL129" s="4" t="s">
        <v>59</v>
      </c>
      <c r="AM129" s="4" t="s">
        <v>421</v>
      </c>
      <c r="AN129" s="4" t="s">
        <v>61</v>
      </c>
      <c r="AO129" s="4"/>
      <c r="AP129" s="4" t="s">
        <v>59</v>
      </c>
      <c r="AQ129" s="4" t="s">
        <v>332</v>
      </c>
      <c r="AR129" s="4" t="s">
        <v>61</v>
      </c>
      <c r="AS129" s="4"/>
      <c r="AT129" s="4" t="s">
        <v>81</v>
      </c>
      <c r="AU129" s="4" t="s">
        <v>64</v>
      </c>
      <c r="AV129" s="4" t="s">
        <v>74</v>
      </c>
      <c r="AW129" s="4" t="s">
        <v>351</v>
      </c>
      <c r="AX129" s="4" t="s">
        <v>76</v>
      </c>
      <c r="AY129" s="5"/>
    </row>
    <row r="130" spans="1:51" hidden="1" x14ac:dyDescent="0.3">
      <c r="A130">
        <v>129</v>
      </c>
      <c r="B130" s="3">
        <v>45899.487939814797</v>
      </c>
      <c r="C130" s="3">
        <v>45899.493796296301</v>
      </c>
      <c r="D130" s="4" t="s">
        <v>49</v>
      </c>
      <c r="E130" s="4" t="s">
        <v>50</v>
      </c>
      <c r="F130" s="5" t="s">
        <v>422</v>
      </c>
      <c r="G130" s="4" t="s">
        <v>52</v>
      </c>
      <c r="H130" s="2">
        <v>45878</v>
      </c>
      <c r="I130" s="4" t="s">
        <v>53</v>
      </c>
      <c r="J130" s="4" t="s">
        <v>85</v>
      </c>
      <c r="K130" s="4" t="s">
        <v>78</v>
      </c>
      <c r="L130" s="4" t="s">
        <v>56</v>
      </c>
      <c r="M130">
        <v>10</v>
      </c>
      <c r="N130">
        <v>3</v>
      </c>
      <c r="O130">
        <v>6</v>
      </c>
      <c r="P130">
        <v>4</v>
      </c>
      <c r="Q130">
        <v>11</v>
      </c>
      <c r="R130">
        <v>1</v>
      </c>
      <c r="S130">
        <v>2</v>
      </c>
      <c r="T130">
        <v>8</v>
      </c>
      <c r="U130">
        <v>7</v>
      </c>
      <c r="V130">
        <v>12</v>
      </c>
      <c r="W130">
        <v>5</v>
      </c>
      <c r="X130">
        <v>9</v>
      </c>
      <c r="Y130">
        <f>COUNTA(OfficeForms.Table[[#This Row],[elements_shelters]:[elements_restspots]])</f>
        <v>12</v>
      </c>
      <c r="Z130">
        <v>1</v>
      </c>
      <c r="AA130">
        <v>7</v>
      </c>
      <c r="AB130">
        <v>5</v>
      </c>
      <c r="AC130">
        <v>4</v>
      </c>
      <c r="AD130">
        <v>2</v>
      </c>
      <c r="AE130">
        <v>8</v>
      </c>
      <c r="AF130">
        <v>6</v>
      </c>
      <c r="AG130">
        <v>3</v>
      </c>
      <c r="AH130">
        <f>COUNTA(OfficeForms.Table[[#This Row],[pnuw_walktrails]:[pnuw_restspots]])</f>
        <v>8</v>
      </c>
      <c r="AI130" s="4" t="s">
        <v>420</v>
      </c>
      <c r="AJ130" s="4" t="s">
        <v>58</v>
      </c>
      <c r="AK130" s="4" t="s">
        <v>59</v>
      </c>
      <c r="AL130" s="4" t="s">
        <v>59</v>
      </c>
      <c r="AM130" s="4" t="s">
        <v>421</v>
      </c>
      <c r="AN130" s="4" t="s">
        <v>61</v>
      </c>
      <c r="AO130" s="4"/>
      <c r="AP130" s="4" t="s">
        <v>59</v>
      </c>
      <c r="AQ130" s="4" t="s">
        <v>332</v>
      </c>
      <c r="AR130" s="4" t="s">
        <v>61</v>
      </c>
      <c r="AS130" s="4"/>
      <c r="AT130" s="4" t="s">
        <v>63</v>
      </c>
      <c r="AU130" s="4" t="s">
        <v>64</v>
      </c>
      <c r="AV130" s="4" t="s">
        <v>74</v>
      </c>
      <c r="AW130" s="4" t="s">
        <v>351</v>
      </c>
      <c r="AX130" s="4" t="s">
        <v>76</v>
      </c>
      <c r="AY130" s="5"/>
    </row>
    <row r="131" spans="1:51" hidden="1" x14ac:dyDescent="0.3">
      <c r="A131">
        <v>130</v>
      </c>
      <c r="B131" s="3">
        <v>45899.500706018502</v>
      </c>
      <c r="C131" s="3">
        <v>45899.500798611101</v>
      </c>
      <c r="D131" s="4" t="s">
        <v>49</v>
      </c>
      <c r="E131" s="4" t="s">
        <v>50</v>
      </c>
      <c r="F131" s="5" t="s">
        <v>423</v>
      </c>
      <c r="G131" s="4" t="s">
        <v>52</v>
      </c>
      <c r="H131" s="2">
        <v>45878</v>
      </c>
      <c r="I131" s="4" t="s">
        <v>53</v>
      </c>
      <c r="J131" s="4" t="s">
        <v>54</v>
      </c>
      <c r="K131" s="4" t="s">
        <v>424</v>
      </c>
      <c r="L131" s="4" t="s">
        <v>56</v>
      </c>
      <c r="M131">
        <v>11</v>
      </c>
      <c r="N131">
        <v>1</v>
      </c>
      <c r="O131">
        <v>7</v>
      </c>
      <c r="P131">
        <v>10</v>
      </c>
      <c r="Q131">
        <v>12</v>
      </c>
      <c r="R131">
        <v>3</v>
      </c>
      <c r="S131">
        <v>5</v>
      </c>
      <c r="T131">
        <v>4</v>
      </c>
      <c r="U131">
        <v>6</v>
      </c>
      <c r="V131">
        <v>8</v>
      </c>
      <c r="W131">
        <v>2</v>
      </c>
      <c r="X131">
        <v>9</v>
      </c>
      <c r="Y131">
        <f>COUNTA(OfficeForms.Table[[#This Row],[elements_shelters]:[elements_restspots]])</f>
        <v>12</v>
      </c>
      <c r="Z131">
        <v>1</v>
      </c>
      <c r="AA131">
        <v>5</v>
      </c>
      <c r="AB131">
        <v>8</v>
      </c>
      <c r="AC131">
        <v>3</v>
      </c>
      <c r="AD131">
        <v>4</v>
      </c>
      <c r="AE131">
        <v>7</v>
      </c>
      <c r="AF131">
        <v>2</v>
      </c>
      <c r="AG131">
        <v>6</v>
      </c>
      <c r="AH131">
        <f>COUNTA(OfficeForms.Table[[#This Row],[pnuw_walktrails]:[pnuw_restspots]])</f>
        <v>8</v>
      </c>
      <c r="AI131" s="4" t="s">
        <v>425</v>
      </c>
      <c r="AJ131" s="4" t="s">
        <v>88</v>
      </c>
      <c r="AK131" s="4" t="s">
        <v>59</v>
      </c>
      <c r="AL131" s="4" t="s">
        <v>60</v>
      </c>
      <c r="AM131" s="4"/>
      <c r="AN131" s="4" t="s">
        <v>61</v>
      </c>
      <c r="AO131" s="4"/>
      <c r="AP131" s="4" t="s">
        <v>59</v>
      </c>
      <c r="AQ131" s="4" t="s">
        <v>391</v>
      </c>
      <c r="AR131" s="4" t="s">
        <v>174</v>
      </c>
      <c r="AS131" s="4" t="s">
        <v>426</v>
      </c>
      <c r="AT131" s="4" t="s">
        <v>63</v>
      </c>
      <c r="AU131" s="4" t="s">
        <v>73</v>
      </c>
      <c r="AV131" s="4" t="s">
        <v>65</v>
      </c>
      <c r="AW131" s="4" t="s">
        <v>298</v>
      </c>
      <c r="AX131" s="4" t="s">
        <v>298</v>
      </c>
      <c r="AY131" s="5"/>
    </row>
    <row r="132" spans="1:51" hidden="1" x14ac:dyDescent="0.3">
      <c r="A132">
        <v>131</v>
      </c>
      <c r="B132" s="3">
        <v>45899.500821759299</v>
      </c>
      <c r="C132" s="3">
        <v>45899.502199074101</v>
      </c>
      <c r="D132" s="4" t="s">
        <v>49</v>
      </c>
      <c r="E132" s="4" t="s">
        <v>50</v>
      </c>
      <c r="F132" s="5" t="s">
        <v>427</v>
      </c>
      <c r="G132" s="4" t="s">
        <v>52</v>
      </c>
      <c r="H132" s="2">
        <v>45878</v>
      </c>
      <c r="I132" s="4" t="s">
        <v>53</v>
      </c>
      <c r="J132" s="4" t="s">
        <v>85</v>
      </c>
      <c r="K132" s="4" t="s">
        <v>215</v>
      </c>
      <c r="L132" s="4" t="s">
        <v>56</v>
      </c>
      <c r="M132">
        <v>8</v>
      </c>
      <c r="N132">
        <v>2</v>
      </c>
      <c r="O132">
        <v>1</v>
      </c>
      <c r="P132">
        <v>6</v>
      </c>
      <c r="Q132">
        <v>12</v>
      </c>
      <c r="R132">
        <v>3</v>
      </c>
      <c r="S132">
        <v>5</v>
      </c>
      <c r="T132">
        <v>9</v>
      </c>
      <c r="U132">
        <v>7</v>
      </c>
      <c r="V132">
        <v>10</v>
      </c>
      <c r="W132">
        <v>4</v>
      </c>
      <c r="X132">
        <v>11</v>
      </c>
      <c r="Y132">
        <f>COUNTA(OfficeForms.Table[[#This Row],[elements_shelters]:[elements_restspots]])</f>
        <v>12</v>
      </c>
      <c r="AH132">
        <f>COUNTA(OfficeForms.Table[[#This Row],[pnuw_walktrails]:[pnuw_restspots]])</f>
        <v>0</v>
      </c>
      <c r="AI132" s="4" t="s">
        <v>117</v>
      </c>
      <c r="AJ132" s="4" t="s">
        <v>72</v>
      </c>
      <c r="AK132" s="4" t="s">
        <v>59</v>
      </c>
      <c r="AL132" s="4" t="s">
        <v>60</v>
      </c>
      <c r="AM132" s="4"/>
      <c r="AN132" s="4" t="s">
        <v>61</v>
      </c>
      <c r="AO132" s="4"/>
      <c r="AP132" s="4" t="s">
        <v>59</v>
      </c>
      <c r="AQ132" s="4" t="s">
        <v>428</v>
      </c>
      <c r="AR132" s="4" t="s">
        <v>174</v>
      </c>
      <c r="AS132" s="4"/>
      <c r="AT132" s="4" t="s">
        <v>81</v>
      </c>
      <c r="AU132" s="4" t="s">
        <v>73</v>
      </c>
      <c r="AV132" s="4" t="s">
        <v>65</v>
      </c>
      <c r="AW132" s="4" t="s">
        <v>298</v>
      </c>
      <c r="AX132" s="4" t="s">
        <v>298</v>
      </c>
      <c r="AY132" s="5"/>
    </row>
    <row r="133" spans="1:51" hidden="1" x14ac:dyDescent="0.3">
      <c r="A133">
        <v>132</v>
      </c>
      <c r="B133" s="3">
        <v>45899.502210648097</v>
      </c>
      <c r="C133" s="3">
        <v>45899.504189814797</v>
      </c>
      <c r="D133" s="4" t="s">
        <v>49</v>
      </c>
      <c r="E133" s="4" t="s">
        <v>50</v>
      </c>
      <c r="F133" s="5" t="s">
        <v>429</v>
      </c>
      <c r="G133" s="4" t="s">
        <v>52</v>
      </c>
      <c r="H133" s="2">
        <v>45878</v>
      </c>
      <c r="I133" s="4" t="s">
        <v>53</v>
      </c>
      <c r="J133" s="4" t="s">
        <v>85</v>
      </c>
      <c r="K133" s="4" t="s">
        <v>215</v>
      </c>
      <c r="L133" s="4" t="s">
        <v>56</v>
      </c>
      <c r="M133">
        <v>10</v>
      </c>
      <c r="N133">
        <v>1</v>
      </c>
      <c r="O133">
        <v>8</v>
      </c>
      <c r="P133">
        <v>9</v>
      </c>
      <c r="Q133">
        <v>12</v>
      </c>
      <c r="R133">
        <v>6</v>
      </c>
      <c r="S133">
        <v>3</v>
      </c>
      <c r="T133">
        <v>5</v>
      </c>
      <c r="U133">
        <v>7</v>
      </c>
      <c r="V133">
        <v>11</v>
      </c>
      <c r="W133">
        <v>2</v>
      </c>
      <c r="X133">
        <v>4</v>
      </c>
      <c r="Y133">
        <f>COUNTA(OfficeForms.Table[[#This Row],[elements_shelters]:[elements_restspots]])</f>
        <v>12</v>
      </c>
      <c r="Z133">
        <v>2</v>
      </c>
      <c r="AA133">
        <v>7</v>
      </c>
      <c r="AB133">
        <v>8</v>
      </c>
      <c r="AC133">
        <v>3</v>
      </c>
      <c r="AD133">
        <v>5</v>
      </c>
      <c r="AE133">
        <v>6</v>
      </c>
      <c r="AF133">
        <v>1</v>
      </c>
      <c r="AG133">
        <v>4</v>
      </c>
      <c r="AH133">
        <f>COUNTA(OfficeForms.Table[[#This Row],[pnuw_walktrails]:[pnuw_restspots]])</f>
        <v>8</v>
      </c>
      <c r="AI133" s="4" t="s">
        <v>430</v>
      </c>
      <c r="AJ133" s="4" t="s">
        <v>88</v>
      </c>
      <c r="AK133" s="4" t="s">
        <v>59</v>
      </c>
      <c r="AL133" s="4" t="s">
        <v>60</v>
      </c>
      <c r="AM133" s="4"/>
      <c r="AN133" s="4" t="s">
        <v>61</v>
      </c>
      <c r="AO133" s="4"/>
      <c r="AP133" s="4" t="s">
        <v>59</v>
      </c>
      <c r="AQ133" s="4" t="s">
        <v>343</v>
      </c>
      <c r="AR133" s="4" t="s">
        <v>174</v>
      </c>
      <c r="AS133" s="4" t="s">
        <v>431</v>
      </c>
      <c r="AT133" s="4" t="s">
        <v>63</v>
      </c>
      <c r="AU133" s="4" t="s">
        <v>73</v>
      </c>
      <c r="AV133" s="4" t="s">
        <v>65</v>
      </c>
      <c r="AW133" s="4" t="s">
        <v>432</v>
      </c>
      <c r="AX133" s="4" t="s">
        <v>433</v>
      </c>
      <c r="AY133" s="5"/>
    </row>
    <row r="134" spans="1:51" hidden="1" x14ac:dyDescent="0.3">
      <c r="A134">
        <v>133</v>
      </c>
      <c r="B134" s="3">
        <v>45899.504224536999</v>
      </c>
      <c r="C134" s="3">
        <v>45899.505416666703</v>
      </c>
      <c r="D134" s="4" t="s">
        <v>49</v>
      </c>
      <c r="E134" s="4" t="s">
        <v>50</v>
      </c>
      <c r="F134" s="5" t="s">
        <v>434</v>
      </c>
      <c r="G134" s="4" t="s">
        <v>52</v>
      </c>
      <c r="H134" s="2">
        <v>45878</v>
      </c>
      <c r="I134" s="4" t="s">
        <v>53</v>
      </c>
      <c r="J134" s="4" t="s">
        <v>85</v>
      </c>
      <c r="K134" s="4" t="s">
        <v>78</v>
      </c>
      <c r="L134" s="4" t="s">
        <v>56</v>
      </c>
      <c r="M134">
        <v>11</v>
      </c>
      <c r="N134">
        <v>2</v>
      </c>
      <c r="O134">
        <v>7</v>
      </c>
      <c r="P134">
        <v>8</v>
      </c>
      <c r="Q134">
        <v>12</v>
      </c>
      <c r="R134">
        <v>6</v>
      </c>
      <c r="S134">
        <v>10</v>
      </c>
      <c r="T134">
        <v>4</v>
      </c>
      <c r="U134">
        <v>1</v>
      </c>
      <c r="V134">
        <v>9</v>
      </c>
      <c r="W134">
        <v>3</v>
      </c>
      <c r="X134">
        <v>5</v>
      </c>
      <c r="Y134">
        <f>COUNTA(OfficeForms.Table[[#This Row],[elements_shelters]:[elements_restspots]])</f>
        <v>12</v>
      </c>
      <c r="Z134">
        <v>1</v>
      </c>
      <c r="AA134">
        <v>3</v>
      </c>
      <c r="AB134">
        <v>2</v>
      </c>
      <c r="AC134">
        <v>4</v>
      </c>
      <c r="AD134">
        <v>5</v>
      </c>
      <c r="AE134">
        <v>6</v>
      </c>
      <c r="AF134">
        <v>8</v>
      </c>
      <c r="AG134">
        <v>7</v>
      </c>
      <c r="AH134">
        <f>COUNTA(OfficeForms.Table[[#This Row],[pnuw_walktrails]:[pnuw_restspots]])</f>
        <v>8</v>
      </c>
      <c r="AI134" s="4" t="s">
        <v>435</v>
      </c>
      <c r="AJ134" s="4" t="s">
        <v>72</v>
      </c>
      <c r="AK134" s="4" t="s">
        <v>60</v>
      </c>
      <c r="AL134" s="4"/>
      <c r="AM134" s="4"/>
      <c r="AN134" s="4"/>
      <c r="AO134" s="4"/>
      <c r="AP134" s="4"/>
      <c r="AQ134" s="4"/>
      <c r="AR134" s="4"/>
      <c r="AS134" s="4"/>
      <c r="AT134" s="4" t="s">
        <v>63</v>
      </c>
      <c r="AU134" s="4" t="s">
        <v>73</v>
      </c>
      <c r="AV134" s="4" t="s">
        <v>74</v>
      </c>
      <c r="AW134" s="4" t="s">
        <v>436</v>
      </c>
      <c r="AX134" s="4" t="s">
        <v>96</v>
      </c>
      <c r="AY134" s="5"/>
    </row>
    <row r="135" spans="1:51" hidden="1" x14ac:dyDescent="0.3">
      <c r="A135">
        <v>134</v>
      </c>
      <c r="B135" s="3">
        <v>45899.505543981497</v>
      </c>
      <c r="C135" s="3">
        <v>45899.506874999999</v>
      </c>
      <c r="D135" s="4" t="s">
        <v>49</v>
      </c>
      <c r="E135" s="4" t="s">
        <v>50</v>
      </c>
      <c r="F135" s="5" t="s">
        <v>437</v>
      </c>
      <c r="G135" s="4" t="s">
        <v>52</v>
      </c>
      <c r="H135" s="2">
        <v>45878</v>
      </c>
      <c r="I135" s="4" t="s">
        <v>53</v>
      </c>
      <c r="J135" s="4" t="s">
        <v>85</v>
      </c>
      <c r="K135" s="4" t="s">
        <v>55</v>
      </c>
      <c r="L135" s="4" t="s">
        <v>56</v>
      </c>
      <c r="M135">
        <v>1</v>
      </c>
      <c r="N135">
        <v>2</v>
      </c>
      <c r="O135">
        <v>9</v>
      </c>
      <c r="P135">
        <v>3</v>
      </c>
      <c r="Q135">
        <v>12</v>
      </c>
      <c r="R135">
        <v>8</v>
      </c>
      <c r="S135">
        <v>4</v>
      </c>
      <c r="T135">
        <v>11</v>
      </c>
      <c r="U135">
        <v>6</v>
      </c>
      <c r="V135">
        <v>10</v>
      </c>
      <c r="W135">
        <v>5</v>
      </c>
      <c r="X135">
        <v>7</v>
      </c>
      <c r="Y135">
        <f>COUNTA(OfficeForms.Table[[#This Row],[elements_shelters]:[elements_restspots]])</f>
        <v>12</v>
      </c>
      <c r="Z135">
        <v>1</v>
      </c>
      <c r="AA135">
        <v>7</v>
      </c>
      <c r="AB135">
        <v>4</v>
      </c>
      <c r="AC135">
        <v>3</v>
      </c>
      <c r="AD135">
        <v>5</v>
      </c>
      <c r="AE135">
        <v>6</v>
      </c>
      <c r="AF135">
        <v>8</v>
      </c>
      <c r="AG135">
        <v>2</v>
      </c>
      <c r="AH135">
        <f>COUNTA(OfficeForms.Table[[#This Row],[pnuw_walktrails]:[pnuw_restspots]])</f>
        <v>8</v>
      </c>
      <c r="AI135" s="4" t="s">
        <v>438</v>
      </c>
      <c r="AJ135" s="4" t="s">
        <v>72</v>
      </c>
      <c r="AK135" s="4" t="s">
        <v>60</v>
      </c>
      <c r="AL135" s="4"/>
      <c r="AM135" s="4"/>
      <c r="AN135" s="4"/>
      <c r="AO135" s="4"/>
      <c r="AP135" s="4"/>
      <c r="AQ135" s="4"/>
      <c r="AR135" s="4"/>
      <c r="AS135" s="4"/>
      <c r="AT135" s="4" t="s">
        <v>81</v>
      </c>
      <c r="AU135" s="4" t="s">
        <v>73</v>
      </c>
      <c r="AV135" s="4" t="s">
        <v>74</v>
      </c>
      <c r="AW135" s="4" t="s">
        <v>95</v>
      </c>
      <c r="AX135" s="4" t="s">
        <v>95</v>
      </c>
      <c r="AY135" s="5"/>
    </row>
    <row r="136" spans="1:51" hidden="1" x14ac:dyDescent="0.3">
      <c r="A136">
        <v>135</v>
      </c>
      <c r="B136" s="3">
        <v>45899.507060185198</v>
      </c>
      <c r="C136" s="3">
        <v>45899.508506944403</v>
      </c>
      <c r="D136" s="4" t="s">
        <v>49</v>
      </c>
      <c r="E136" s="4" t="s">
        <v>50</v>
      </c>
      <c r="F136" s="5" t="s">
        <v>439</v>
      </c>
      <c r="G136" s="4" t="s">
        <v>52</v>
      </c>
      <c r="H136" s="2">
        <v>45878</v>
      </c>
      <c r="I136" s="4" t="s">
        <v>53</v>
      </c>
      <c r="J136" s="4" t="s">
        <v>54</v>
      </c>
      <c r="K136" s="4" t="s">
        <v>215</v>
      </c>
      <c r="L136" s="4" t="s">
        <v>56</v>
      </c>
      <c r="M136">
        <v>11</v>
      </c>
      <c r="N136">
        <v>7</v>
      </c>
      <c r="O136">
        <v>8</v>
      </c>
      <c r="P136">
        <v>9</v>
      </c>
      <c r="Q136">
        <v>10</v>
      </c>
      <c r="R136">
        <v>5</v>
      </c>
      <c r="S136">
        <v>1</v>
      </c>
      <c r="T136">
        <v>2</v>
      </c>
      <c r="U136">
        <v>3</v>
      </c>
      <c r="V136">
        <v>12</v>
      </c>
      <c r="W136">
        <v>6</v>
      </c>
      <c r="X136">
        <v>4</v>
      </c>
      <c r="Y136">
        <f>COUNTA(OfficeForms.Table[[#This Row],[elements_shelters]:[elements_restspots]])</f>
        <v>12</v>
      </c>
      <c r="Z136">
        <v>1</v>
      </c>
      <c r="AA136">
        <v>7</v>
      </c>
      <c r="AB136">
        <v>8</v>
      </c>
      <c r="AC136">
        <v>2</v>
      </c>
      <c r="AD136">
        <v>3</v>
      </c>
      <c r="AE136">
        <v>4</v>
      </c>
      <c r="AF136">
        <v>6</v>
      </c>
      <c r="AG136">
        <v>5</v>
      </c>
      <c r="AH136">
        <f>COUNTA(OfficeForms.Table[[#This Row],[pnuw_walktrails]:[pnuw_restspots]])</f>
        <v>8</v>
      </c>
      <c r="AI136" s="4" t="s">
        <v>440</v>
      </c>
      <c r="AJ136" s="4" t="s">
        <v>88</v>
      </c>
      <c r="AK136" s="4" t="s">
        <v>59</v>
      </c>
      <c r="AL136" s="4" t="s">
        <v>60</v>
      </c>
      <c r="AM136" s="4"/>
      <c r="AN136" s="4" t="s">
        <v>61</v>
      </c>
      <c r="AO136" s="4"/>
      <c r="AP136" s="4" t="s">
        <v>59</v>
      </c>
      <c r="AQ136" s="4" t="s">
        <v>263</v>
      </c>
      <c r="AR136" s="4" t="s">
        <v>61</v>
      </c>
      <c r="AS136" s="4"/>
      <c r="AT136" s="4" t="s">
        <v>63</v>
      </c>
      <c r="AU136" s="4" t="s">
        <v>73</v>
      </c>
      <c r="AV136" s="4" t="s">
        <v>99</v>
      </c>
      <c r="AW136" s="4" t="s">
        <v>441</v>
      </c>
      <c r="AX136" s="4" t="s">
        <v>441</v>
      </c>
      <c r="AY136" s="5"/>
    </row>
    <row r="137" spans="1:51" hidden="1" x14ac:dyDescent="0.3">
      <c r="A137">
        <v>136</v>
      </c>
      <c r="B137" s="3">
        <v>45899.508541666699</v>
      </c>
      <c r="C137" s="3">
        <v>45899.510023148097</v>
      </c>
      <c r="D137" s="4" t="s">
        <v>49</v>
      </c>
      <c r="E137" s="4" t="s">
        <v>50</v>
      </c>
      <c r="F137" s="5" t="s">
        <v>442</v>
      </c>
      <c r="G137" s="4" t="s">
        <v>52</v>
      </c>
      <c r="H137" s="2">
        <v>45878</v>
      </c>
      <c r="I137" s="4" t="s">
        <v>53</v>
      </c>
      <c r="J137" s="4" t="s">
        <v>54</v>
      </c>
      <c r="K137" s="4" t="s">
        <v>215</v>
      </c>
      <c r="L137" s="4" t="s">
        <v>56</v>
      </c>
      <c r="M137">
        <v>12</v>
      </c>
      <c r="N137">
        <v>4</v>
      </c>
      <c r="O137">
        <v>8</v>
      </c>
      <c r="P137">
        <v>9</v>
      </c>
      <c r="Q137">
        <v>5</v>
      </c>
      <c r="R137">
        <v>10</v>
      </c>
      <c r="S137">
        <v>2</v>
      </c>
      <c r="T137">
        <v>6</v>
      </c>
      <c r="U137">
        <v>3</v>
      </c>
      <c r="V137">
        <v>11</v>
      </c>
      <c r="W137">
        <v>7</v>
      </c>
      <c r="X137">
        <v>1</v>
      </c>
      <c r="Y137">
        <f>COUNTA(OfficeForms.Table[[#This Row],[elements_shelters]:[elements_restspots]])</f>
        <v>12</v>
      </c>
      <c r="Z137">
        <v>3</v>
      </c>
      <c r="AA137">
        <v>4</v>
      </c>
      <c r="AB137">
        <v>5</v>
      </c>
      <c r="AC137">
        <v>6</v>
      </c>
      <c r="AD137">
        <v>1</v>
      </c>
      <c r="AE137">
        <v>8</v>
      </c>
      <c r="AF137">
        <v>7</v>
      </c>
      <c r="AG137">
        <v>2</v>
      </c>
      <c r="AH137">
        <f>COUNTA(OfficeForms.Table[[#This Row],[pnuw_walktrails]:[pnuw_restspots]])</f>
        <v>8</v>
      </c>
      <c r="AI137" s="4" t="s">
        <v>117</v>
      </c>
      <c r="AJ137" s="4" t="s">
        <v>88</v>
      </c>
      <c r="AK137" s="4" t="s">
        <v>59</v>
      </c>
      <c r="AL137" s="4" t="s">
        <v>59</v>
      </c>
      <c r="AM137" s="4" t="s">
        <v>290</v>
      </c>
      <c r="AN137" s="4" t="s">
        <v>61</v>
      </c>
      <c r="AO137" s="4"/>
      <c r="AP137" s="4" t="s">
        <v>59</v>
      </c>
      <c r="AQ137" s="4" t="s">
        <v>290</v>
      </c>
      <c r="AR137" s="4" t="s">
        <v>61</v>
      </c>
      <c r="AS137" s="4"/>
      <c r="AT137" s="4" t="s">
        <v>63</v>
      </c>
      <c r="AU137" s="4" t="s">
        <v>73</v>
      </c>
      <c r="AV137" s="4" t="s">
        <v>99</v>
      </c>
      <c r="AW137" s="4" t="s">
        <v>441</v>
      </c>
      <c r="AX137" s="4" t="s">
        <v>441</v>
      </c>
      <c r="AY137" s="5"/>
    </row>
    <row r="138" spans="1:51" hidden="1" x14ac:dyDescent="0.3">
      <c r="A138">
        <v>137</v>
      </c>
      <c r="B138" s="3">
        <v>45899.5100578704</v>
      </c>
      <c r="C138" s="3">
        <v>45899.511238425897</v>
      </c>
      <c r="D138" s="4" t="s">
        <v>49</v>
      </c>
      <c r="E138" s="4" t="s">
        <v>50</v>
      </c>
      <c r="F138" s="5" t="s">
        <v>443</v>
      </c>
      <c r="G138" s="4" t="s">
        <v>52</v>
      </c>
      <c r="H138" s="2">
        <v>45878</v>
      </c>
      <c r="I138" s="4" t="s">
        <v>53</v>
      </c>
      <c r="J138" s="4" t="s">
        <v>69</v>
      </c>
      <c r="K138" s="4" t="s">
        <v>78</v>
      </c>
      <c r="L138" s="4" t="s">
        <v>56</v>
      </c>
      <c r="M138">
        <v>12</v>
      </c>
      <c r="N138">
        <v>1</v>
      </c>
      <c r="O138">
        <v>2</v>
      </c>
      <c r="P138">
        <v>8</v>
      </c>
      <c r="Q138">
        <v>10</v>
      </c>
      <c r="R138">
        <v>9</v>
      </c>
      <c r="S138">
        <v>5</v>
      </c>
      <c r="T138">
        <v>6</v>
      </c>
      <c r="U138">
        <v>7</v>
      </c>
      <c r="V138">
        <v>4</v>
      </c>
      <c r="W138">
        <v>11</v>
      </c>
      <c r="X138">
        <v>3</v>
      </c>
      <c r="Y138">
        <f>COUNTA(OfficeForms.Table[[#This Row],[elements_shelters]:[elements_restspots]])</f>
        <v>12</v>
      </c>
      <c r="Z138">
        <v>2</v>
      </c>
      <c r="AA138">
        <v>3</v>
      </c>
      <c r="AB138">
        <v>5</v>
      </c>
      <c r="AC138">
        <v>4</v>
      </c>
      <c r="AD138">
        <v>8</v>
      </c>
      <c r="AE138">
        <v>7</v>
      </c>
      <c r="AF138">
        <v>6</v>
      </c>
      <c r="AG138">
        <v>1</v>
      </c>
      <c r="AH138">
        <f>COUNTA(OfficeForms.Table[[#This Row],[pnuw_walktrails]:[pnuw_restspots]])</f>
        <v>8</v>
      </c>
      <c r="AI138" s="4" t="s">
        <v>117</v>
      </c>
      <c r="AJ138" s="4" t="s">
        <v>88</v>
      </c>
      <c r="AK138" s="4" t="s">
        <v>59</v>
      </c>
      <c r="AL138" s="4" t="s">
        <v>60</v>
      </c>
      <c r="AM138" s="4"/>
      <c r="AN138" s="4" t="s">
        <v>111</v>
      </c>
      <c r="AO138" s="4"/>
      <c r="AP138" s="4" t="s">
        <v>59</v>
      </c>
      <c r="AQ138" s="4" t="s">
        <v>251</v>
      </c>
      <c r="AR138" s="4" t="s">
        <v>111</v>
      </c>
      <c r="AS138" s="4"/>
      <c r="AT138" s="4" t="s">
        <v>63</v>
      </c>
      <c r="AU138" s="4" t="s">
        <v>73</v>
      </c>
      <c r="AV138" s="4" t="s">
        <v>99</v>
      </c>
      <c r="AW138" s="4" t="s">
        <v>441</v>
      </c>
      <c r="AX138" s="4" t="s">
        <v>441</v>
      </c>
      <c r="AY138" s="5"/>
    </row>
    <row r="139" spans="1:51" hidden="1" x14ac:dyDescent="0.3">
      <c r="A139">
        <v>138</v>
      </c>
      <c r="B139" s="3">
        <v>45899.511284722197</v>
      </c>
      <c r="C139" s="3">
        <v>45899.513900462996</v>
      </c>
      <c r="D139" s="4" t="s">
        <v>49</v>
      </c>
      <c r="E139" s="4" t="s">
        <v>50</v>
      </c>
      <c r="F139" s="5" t="s">
        <v>444</v>
      </c>
      <c r="G139" s="4" t="s">
        <v>52</v>
      </c>
      <c r="H139" s="2">
        <v>45878</v>
      </c>
      <c r="I139" s="4" t="s">
        <v>53</v>
      </c>
      <c r="J139" s="4" t="s">
        <v>85</v>
      </c>
      <c r="K139" s="4" t="s">
        <v>78</v>
      </c>
      <c r="L139" s="4" t="s">
        <v>56</v>
      </c>
      <c r="M139">
        <v>11</v>
      </c>
      <c r="N139">
        <v>12</v>
      </c>
      <c r="O139">
        <v>9</v>
      </c>
      <c r="P139">
        <v>10</v>
      </c>
      <c r="Q139">
        <v>4</v>
      </c>
      <c r="R139">
        <v>5</v>
      </c>
      <c r="S139">
        <v>7</v>
      </c>
      <c r="T139">
        <v>1</v>
      </c>
      <c r="U139">
        <v>2</v>
      </c>
      <c r="V139">
        <v>6</v>
      </c>
      <c r="W139">
        <v>8</v>
      </c>
      <c r="X139">
        <v>3</v>
      </c>
      <c r="Y139">
        <f>COUNTA(OfficeForms.Table[[#This Row],[elements_shelters]:[elements_restspots]])</f>
        <v>12</v>
      </c>
      <c r="Z139">
        <v>8</v>
      </c>
      <c r="AA139">
        <v>4</v>
      </c>
      <c r="AB139">
        <v>5</v>
      </c>
      <c r="AC139">
        <v>6</v>
      </c>
      <c r="AD139">
        <v>3</v>
      </c>
      <c r="AE139">
        <v>1</v>
      </c>
      <c r="AF139">
        <v>7</v>
      </c>
      <c r="AG139">
        <v>2</v>
      </c>
      <c r="AH139">
        <f>COUNTA(OfficeForms.Table[[#This Row],[pnuw_walktrails]:[pnuw_restspots]])</f>
        <v>8</v>
      </c>
      <c r="AI139" s="4" t="s">
        <v>117</v>
      </c>
      <c r="AJ139" s="4" t="s">
        <v>88</v>
      </c>
      <c r="AK139" s="4" t="s">
        <v>59</v>
      </c>
      <c r="AL139" s="4" t="s">
        <v>60</v>
      </c>
      <c r="AM139" s="4"/>
      <c r="AN139" s="4" t="s">
        <v>61</v>
      </c>
      <c r="AO139" s="4"/>
      <c r="AP139" s="4" t="s">
        <v>59</v>
      </c>
      <c r="AQ139" s="4" t="s">
        <v>391</v>
      </c>
      <c r="AR139" s="4" t="s">
        <v>61</v>
      </c>
      <c r="AS139" s="4"/>
      <c r="AT139" s="4" t="s">
        <v>63</v>
      </c>
      <c r="AU139" s="4" t="s">
        <v>108</v>
      </c>
      <c r="AV139" s="4" t="s">
        <v>82</v>
      </c>
      <c r="AW139" s="4" t="s">
        <v>445</v>
      </c>
      <c r="AX139" s="4" t="s">
        <v>446</v>
      </c>
      <c r="AY139" s="5"/>
    </row>
    <row r="140" spans="1:51" hidden="1" x14ac:dyDescent="0.3">
      <c r="A140">
        <v>139</v>
      </c>
      <c r="B140" s="3">
        <v>45899.513946759304</v>
      </c>
      <c r="C140" s="3">
        <v>45899.524537037003</v>
      </c>
      <c r="D140" s="4" t="s">
        <v>49</v>
      </c>
      <c r="E140" s="4" t="s">
        <v>50</v>
      </c>
      <c r="F140" s="5" t="s">
        <v>447</v>
      </c>
      <c r="G140" s="4" t="s">
        <v>52</v>
      </c>
      <c r="H140" s="2">
        <v>45877</v>
      </c>
      <c r="I140" s="4" t="s">
        <v>53</v>
      </c>
      <c r="J140" s="4" t="s">
        <v>85</v>
      </c>
      <c r="K140" s="4" t="s">
        <v>78</v>
      </c>
      <c r="L140" s="4" t="s">
        <v>56</v>
      </c>
      <c r="M140">
        <v>11</v>
      </c>
      <c r="N140">
        <v>1</v>
      </c>
      <c r="O140">
        <v>10</v>
      </c>
      <c r="P140">
        <v>4</v>
      </c>
      <c r="Q140">
        <v>9</v>
      </c>
      <c r="R140">
        <v>5</v>
      </c>
      <c r="S140">
        <v>3</v>
      </c>
      <c r="T140">
        <v>8</v>
      </c>
      <c r="U140">
        <v>7</v>
      </c>
      <c r="V140">
        <v>12</v>
      </c>
      <c r="W140">
        <v>2</v>
      </c>
      <c r="X140">
        <v>6</v>
      </c>
      <c r="Y140">
        <f>COUNTA(OfficeForms.Table[[#This Row],[elements_shelters]:[elements_restspots]])</f>
        <v>12</v>
      </c>
      <c r="Z140">
        <v>1</v>
      </c>
      <c r="AA140">
        <v>5</v>
      </c>
      <c r="AB140">
        <v>6</v>
      </c>
      <c r="AC140">
        <v>4</v>
      </c>
      <c r="AD140">
        <v>2</v>
      </c>
      <c r="AE140">
        <v>7</v>
      </c>
      <c r="AF140">
        <v>3</v>
      </c>
      <c r="AG140">
        <v>8</v>
      </c>
      <c r="AH140">
        <f>COUNTA(OfficeForms.Table[[#This Row],[pnuw_walktrails]:[pnuw_restspots]])</f>
        <v>8</v>
      </c>
      <c r="AI140" s="4" t="s">
        <v>448</v>
      </c>
      <c r="AJ140" s="4" t="s">
        <v>268</v>
      </c>
      <c r="AK140" s="4" t="s">
        <v>60</v>
      </c>
      <c r="AL140" s="4"/>
      <c r="AM140" s="4"/>
      <c r="AN140" s="4"/>
      <c r="AO140" s="4"/>
      <c r="AP140" s="4"/>
      <c r="AQ140" s="4"/>
      <c r="AR140" s="4"/>
      <c r="AS140" s="4"/>
      <c r="AT140" s="4" t="s">
        <v>63</v>
      </c>
      <c r="AU140" s="4" t="s">
        <v>73</v>
      </c>
      <c r="AV140" s="4" t="s">
        <v>99</v>
      </c>
      <c r="AW140" s="4" t="s">
        <v>280</v>
      </c>
      <c r="AX140" s="4" t="s">
        <v>280</v>
      </c>
      <c r="AY140" s="5"/>
    </row>
    <row r="141" spans="1:51" hidden="1" x14ac:dyDescent="0.3">
      <c r="A141">
        <v>140</v>
      </c>
      <c r="B141" s="3">
        <v>45899.5246064815</v>
      </c>
      <c r="C141" s="3">
        <v>45899.525787036997</v>
      </c>
      <c r="D141" s="4" t="s">
        <v>49</v>
      </c>
      <c r="E141" s="4" t="s">
        <v>50</v>
      </c>
      <c r="F141" s="5" t="s">
        <v>449</v>
      </c>
      <c r="G141" s="4" t="s">
        <v>52</v>
      </c>
      <c r="H141" s="2">
        <v>45877</v>
      </c>
      <c r="I141" s="4" t="s">
        <v>53</v>
      </c>
      <c r="J141" s="4" t="s">
        <v>85</v>
      </c>
      <c r="K141" s="4" t="s">
        <v>78</v>
      </c>
      <c r="L141" s="4" t="s">
        <v>56</v>
      </c>
      <c r="M141">
        <v>12</v>
      </c>
      <c r="N141">
        <v>1</v>
      </c>
      <c r="O141">
        <v>10</v>
      </c>
      <c r="P141">
        <v>8</v>
      </c>
      <c r="Q141">
        <v>11</v>
      </c>
      <c r="R141">
        <v>9</v>
      </c>
      <c r="S141">
        <v>3</v>
      </c>
      <c r="T141">
        <v>4</v>
      </c>
      <c r="U141">
        <v>5</v>
      </c>
      <c r="V141">
        <v>6</v>
      </c>
      <c r="W141">
        <v>7</v>
      </c>
      <c r="X141" s="10">
        <v>2</v>
      </c>
      <c r="Y141">
        <f>COUNTA(OfficeForms.Table[[#This Row],[elements_shelters]:[elements_restspots]])</f>
        <v>12</v>
      </c>
      <c r="Z141">
        <v>1</v>
      </c>
      <c r="AA141">
        <v>2</v>
      </c>
      <c r="AB141">
        <v>3</v>
      </c>
      <c r="AC141">
        <v>4</v>
      </c>
      <c r="AD141">
        <v>6</v>
      </c>
      <c r="AE141">
        <v>5</v>
      </c>
      <c r="AF141">
        <v>7</v>
      </c>
      <c r="AG141">
        <v>8</v>
      </c>
      <c r="AH141">
        <f>COUNTA(OfficeForms.Table[[#This Row],[pnuw_walktrails]:[pnuw_restspots]])</f>
        <v>8</v>
      </c>
      <c r="AI141" s="4" t="s">
        <v>450</v>
      </c>
      <c r="AJ141" s="4" t="s">
        <v>268</v>
      </c>
      <c r="AK141" s="4" t="s">
        <v>60</v>
      </c>
      <c r="AL141" s="4"/>
      <c r="AM141" s="4"/>
      <c r="AN141" s="4"/>
      <c r="AO141" s="4"/>
      <c r="AP141" s="4"/>
      <c r="AQ141" s="4"/>
      <c r="AR141" s="4"/>
      <c r="AS141" s="4"/>
      <c r="AT141" s="4" t="s">
        <v>81</v>
      </c>
      <c r="AU141" s="4" t="s">
        <v>73</v>
      </c>
      <c r="AV141" s="4" t="s">
        <v>99</v>
      </c>
      <c r="AW141" s="4" t="s">
        <v>280</v>
      </c>
      <c r="AX141" s="4" t="s">
        <v>280</v>
      </c>
      <c r="AY141" s="5"/>
    </row>
    <row r="142" spans="1:51" hidden="1" x14ac:dyDescent="0.3">
      <c r="A142">
        <v>141</v>
      </c>
      <c r="B142" s="3">
        <v>45900.404826388898</v>
      </c>
      <c r="C142" s="3">
        <v>45900.408726851798</v>
      </c>
      <c r="D142" s="4" t="s">
        <v>49</v>
      </c>
      <c r="E142" s="4" t="s">
        <v>50</v>
      </c>
      <c r="F142" s="5" t="s">
        <v>451</v>
      </c>
      <c r="G142" s="4" t="s">
        <v>132</v>
      </c>
      <c r="H142" s="2">
        <v>45873</v>
      </c>
      <c r="I142" s="4" t="s">
        <v>53</v>
      </c>
      <c r="J142" s="4" t="s">
        <v>85</v>
      </c>
      <c r="K142" s="4" t="s">
        <v>78</v>
      </c>
      <c r="L142" s="4" t="s">
        <v>56</v>
      </c>
      <c r="M142">
        <v>11</v>
      </c>
      <c r="N142">
        <v>1</v>
      </c>
      <c r="O142">
        <v>4</v>
      </c>
      <c r="P142">
        <v>9</v>
      </c>
      <c r="Q142">
        <v>12</v>
      </c>
      <c r="R142">
        <v>7</v>
      </c>
      <c r="S142">
        <v>3</v>
      </c>
      <c r="T142">
        <v>10</v>
      </c>
      <c r="U142">
        <v>5</v>
      </c>
      <c r="V142">
        <v>6</v>
      </c>
      <c r="W142">
        <v>2</v>
      </c>
      <c r="X142">
        <v>8</v>
      </c>
      <c r="Y142">
        <f>COUNTA(OfficeForms.Table[[#This Row],[elements_shelters]:[elements_restspots]])</f>
        <v>12</v>
      </c>
      <c r="Z142">
        <v>3</v>
      </c>
      <c r="AA142">
        <v>4</v>
      </c>
      <c r="AB142">
        <v>5</v>
      </c>
      <c r="AC142">
        <v>1</v>
      </c>
      <c r="AD142">
        <v>6</v>
      </c>
      <c r="AE142">
        <v>8</v>
      </c>
      <c r="AF142">
        <v>2</v>
      </c>
      <c r="AG142">
        <v>7</v>
      </c>
      <c r="AH142">
        <f>COUNTA(OfficeForms.Table[[#This Row],[pnuw_walktrails]:[pnuw_restspots]])</f>
        <v>8</v>
      </c>
      <c r="AI142" s="4" t="s">
        <v>452</v>
      </c>
      <c r="AJ142" s="4" t="s">
        <v>88</v>
      </c>
      <c r="AK142" s="4" t="s">
        <v>60</v>
      </c>
      <c r="AL142" s="4"/>
      <c r="AM142" s="4"/>
      <c r="AN142" s="4"/>
      <c r="AO142" s="4"/>
      <c r="AP142" s="4"/>
      <c r="AQ142" s="4"/>
      <c r="AR142" s="4"/>
      <c r="AS142" s="4"/>
      <c r="AT142" s="4" t="s">
        <v>63</v>
      </c>
      <c r="AU142" s="4" t="s">
        <v>73</v>
      </c>
      <c r="AV142" s="4" t="s">
        <v>125</v>
      </c>
      <c r="AW142" s="4" t="s">
        <v>453</v>
      </c>
      <c r="AX142" s="4" t="s">
        <v>96</v>
      </c>
      <c r="AY142" s="5"/>
    </row>
    <row r="143" spans="1:51" hidden="1" x14ac:dyDescent="0.3">
      <c r="A143">
        <v>142</v>
      </c>
      <c r="B143" s="3">
        <v>45900.408750000002</v>
      </c>
      <c r="C143" s="3">
        <v>45900.412384259304</v>
      </c>
      <c r="D143" s="4" t="s">
        <v>49</v>
      </c>
      <c r="E143" s="4" t="s">
        <v>50</v>
      </c>
      <c r="F143" s="5" t="s">
        <v>454</v>
      </c>
      <c r="G143" s="4" t="s">
        <v>132</v>
      </c>
      <c r="H143" s="2">
        <v>45873</v>
      </c>
      <c r="I143" s="4" t="s">
        <v>53</v>
      </c>
      <c r="J143" s="4" t="s">
        <v>85</v>
      </c>
      <c r="K143" s="4" t="s">
        <v>78</v>
      </c>
      <c r="L143" s="4" t="s">
        <v>56</v>
      </c>
      <c r="M143">
        <v>7</v>
      </c>
      <c r="N143">
        <v>4</v>
      </c>
      <c r="O143">
        <v>1</v>
      </c>
      <c r="P143">
        <v>8</v>
      </c>
      <c r="Q143">
        <v>12</v>
      </c>
      <c r="R143">
        <v>3</v>
      </c>
      <c r="S143">
        <v>5</v>
      </c>
      <c r="T143">
        <v>11</v>
      </c>
      <c r="U143">
        <v>9</v>
      </c>
      <c r="V143">
        <v>10</v>
      </c>
      <c r="W143" s="10">
        <v>6</v>
      </c>
      <c r="X143">
        <v>2</v>
      </c>
      <c r="Y143">
        <f>COUNTA(OfficeForms.Table[[#This Row],[elements_shelters]:[elements_restspots]])</f>
        <v>12</v>
      </c>
      <c r="Z143">
        <v>6</v>
      </c>
      <c r="AA143">
        <v>1</v>
      </c>
      <c r="AB143">
        <v>3</v>
      </c>
      <c r="AC143">
        <v>7</v>
      </c>
      <c r="AD143">
        <v>2</v>
      </c>
      <c r="AE143">
        <v>5</v>
      </c>
      <c r="AF143">
        <v>8</v>
      </c>
      <c r="AG143">
        <v>4</v>
      </c>
      <c r="AH143">
        <f>COUNTA(OfficeForms.Table[[#This Row],[pnuw_walktrails]:[pnuw_restspots]])</f>
        <v>8</v>
      </c>
      <c r="AI143" s="5" t="s">
        <v>455</v>
      </c>
      <c r="AJ143" s="4" t="s">
        <v>88</v>
      </c>
      <c r="AK143" s="4" t="s">
        <v>60</v>
      </c>
      <c r="AL143" s="4"/>
      <c r="AM143" s="4"/>
      <c r="AN143" s="4"/>
      <c r="AO143" s="4"/>
      <c r="AP143" s="4"/>
      <c r="AQ143" s="4"/>
      <c r="AR143" s="4"/>
      <c r="AS143" s="4"/>
      <c r="AT143" s="4" t="s">
        <v>63</v>
      </c>
      <c r="AU143" s="4" t="s">
        <v>73</v>
      </c>
      <c r="AV143" s="4" t="s">
        <v>125</v>
      </c>
      <c r="AW143" s="4" t="s">
        <v>95</v>
      </c>
      <c r="AX143" s="4" t="s">
        <v>95</v>
      </c>
      <c r="AY143" s="5"/>
    </row>
    <row r="144" spans="1:51" hidden="1" x14ac:dyDescent="0.3">
      <c r="A144">
        <v>143</v>
      </c>
      <c r="B144" s="3">
        <v>45900.412453703699</v>
      </c>
      <c r="C144" s="3">
        <v>45900.413877314801</v>
      </c>
      <c r="D144" s="4" t="s">
        <v>49</v>
      </c>
      <c r="E144" s="4" t="s">
        <v>50</v>
      </c>
      <c r="F144" s="5" t="s">
        <v>456</v>
      </c>
      <c r="G144" s="4" t="s">
        <v>132</v>
      </c>
      <c r="H144" s="2">
        <v>45873</v>
      </c>
      <c r="I144" s="4" t="s">
        <v>53</v>
      </c>
      <c r="J144" s="4" t="s">
        <v>85</v>
      </c>
      <c r="K144" s="4" t="s">
        <v>78</v>
      </c>
      <c r="L144" s="4" t="s">
        <v>56</v>
      </c>
      <c r="M144">
        <v>12</v>
      </c>
      <c r="N144">
        <v>1</v>
      </c>
      <c r="O144">
        <v>2</v>
      </c>
      <c r="P144">
        <v>9</v>
      </c>
      <c r="Q144">
        <v>10</v>
      </c>
      <c r="R144">
        <v>8</v>
      </c>
      <c r="S144">
        <v>3</v>
      </c>
      <c r="T144">
        <v>6</v>
      </c>
      <c r="U144">
        <v>4</v>
      </c>
      <c r="V144">
        <v>11</v>
      </c>
      <c r="W144">
        <v>5</v>
      </c>
      <c r="X144">
        <v>7</v>
      </c>
      <c r="Y144">
        <f>COUNTA(OfficeForms.Table[[#This Row],[elements_shelters]:[elements_restspots]])</f>
        <v>12</v>
      </c>
      <c r="Z144">
        <v>1</v>
      </c>
      <c r="AA144">
        <v>3</v>
      </c>
      <c r="AB144">
        <v>8</v>
      </c>
      <c r="AC144">
        <v>2</v>
      </c>
      <c r="AD144">
        <v>5</v>
      </c>
      <c r="AE144">
        <v>7</v>
      </c>
      <c r="AF144">
        <v>4</v>
      </c>
      <c r="AG144">
        <v>6</v>
      </c>
      <c r="AH144">
        <f>COUNTA(OfficeForms.Table[[#This Row],[pnuw_walktrails]:[pnuw_restspots]])</f>
        <v>8</v>
      </c>
      <c r="AI144" s="4" t="s">
        <v>117</v>
      </c>
      <c r="AJ144" s="4" t="s">
        <v>88</v>
      </c>
      <c r="AK144" s="4" t="s">
        <v>60</v>
      </c>
      <c r="AL144" s="4"/>
      <c r="AM144" s="4"/>
      <c r="AN144" s="4"/>
      <c r="AO144" s="4"/>
      <c r="AP144" s="4"/>
      <c r="AQ144" s="4"/>
      <c r="AR144" s="4"/>
      <c r="AS144" s="4"/>
      <c r="AT144" s="4" t="s">
        <v>63</v>
      </c>
      <c r="AU144" s="4" t="s">
        <v>73</v>
      </c>
      <c r="AV144" s="4" t="s">
        <v>125</v>
      </c>
      <c r="AW144" s="4" t="s">
        <v>457</v>
      </c>
      <c r="AX144" s="4" t="s">
        <v>96</v>
      </c>
      <c r="AY144" s="5"/>
    </row>
    <row r="145" spans="1:51" hidden="1" x14ac:dyDescent="0.3">
      <c r="A145">
        <v>144</v>
      </c>
      <c r="B145" s="3">
        <v>45900.413912037002</v>
      </c>
      <c r="C145" s="3">
        <v>45900.415219907401</v>
      </c>
      <c r="D145" s="4" t="s">
        <v>49</v>
      </c>
      <c r="E145" s="4" t="s">
        <v>50</v>
      </c>
      <c r="F145" s="5" t="s">
        <v>458</v>
      </c>
      <c r="G145" s="4" t="s">
        <v>132</v>
      </c>
      <c r="H145" s="2">
        <v>45874</v>
      </c>
      <c r="I145" s="4" t="s">
        <v>53</v>
      </c>
      <c r="J145" s="4" t="s">
        <v>85</v>
      </c>
      <c r="K145" s="4" t="s">
        <v>215</v>
      </c>
      <c r="L145" s="4" t="s">
        <v>56</v>
      </c>
      <c r="M145">
        <v>5</v>
      </c>
      <c r="N145">
        <v>6</v>
      </c>
      <c r="O145">
        <v>9</v>
      </c>
      <c r="P145">
        <v>11</v>
      </c>
      <c r="Q145">
        <v>12</v>
      </c>
      <c r="R145">
        <v>4</v>
      </c>
      <c r="S145">
        <v>2</v>
      </c>
      <c r="T145">
        <v>8</v>
      </c>
      <c r="U145">
        <v>3</v>
      </c>
      <c r="V145">
        <v>10</v>
      </c>
      <c r="W145">
        <v>1</v>
      </c>
      <c r="X145">
        <v>7</v>
      </c>
      <c r="Y145">
        <f>COUNTA(OfficeForms.Table[[#This Row],[elements_shelters]:[elements_restspots]])</f>
        <v>12</v>
      </c>
      <c r="Z145">
        <v>1</v>
      </c>
      <c r="AA145">
        <v>4</v>
      </c>
      <c r="AB145">
        <v>7</v>
      </c>
      <c r="AC145">
        <v>2</v>
      </c>
      <c r="AD145">
        <v>3</v>
      </c>
      <c r="AE145">
        <v>5</v>
      </c>
      <c r="AF145">
        <v>8</v>
      </c>
      <c r="AG145">
        <v>6</v>
      </c>
      <c r="AH145">
        <f>COUNTA(OfficeForms.Table[[#This Row],[pnuw_walktrails]:[pnuw_restspots]])</f>
        <v>8</v>
      </c>
      <c r="AI145" s="4" t="s">
        <v>459</v>
      </c>
      <c r="AJ145" s="4" t="s">
        <v>80</v>
      </c>
      <c r="AK145" s="4" t="s">
        <v>60</v>
      </c>
      <c r="AL145" s="4"/>
      <c r="AM145" s="4"/>
      <c r="AN145" s="4"/>
      <c r="AO145" s="4"/>
      <c r="AP145" s="4"/>
      <c r="AQ145" s="4"/>
      <c r="AR145" s="4"/>
      <c r="AS145" s="4"/>
      <c r="AT145" s="4" t="s">
        <v>63</v>
      </c>
      <c r="AU145" s="4" t="s">
        <v>64</v>
      </c>
      <c r="AV145" s="4" t="s">
        <v>65</v>
      </c>
      <c r="AW145" s="4" t="s">
        <v>298</v>
      </c>
      <c r="AX145" s="4" t="s">
        <v>298</v>
      </c>
      <c r="AY145" s="5"/>
    </row>
    <row r="146" spans="1:51" hidden="1" x14ac:dyDescent="0.3">
      <c r="A146">
        <v>145</v>
      </c>
      <c r="B146" s="3">
        <v>45900.415243055599</v>
      </c>
      <c r="C146" s="3">
        <v>45900.420590277798</v>
      </c>
      <c r="D146" s="4" t="s">
        <v>49</v>
      </c>
      <c r="E146" s="4" t="s">
        <v>50</v>
      </c>
      <c r="F146" s="5" t="s">
        <v>460</v>
      </c>
      <c r="G146" s="4" t="s">
        <v>132</v>
      </c>
      <c r="H146" s="2">
        <v>45874</v>
      </c>
      <c r="I146" s="4" t="s">
        <v>53</v>
      </c>
      <c r="J146" s="4" t="s">
        <v>85</v>
      </c>
      <c r="K146" s="4" t="s">
        <v>78</v>
      </c>
      <c r="L146" s="4" t="s">
        <v>56</v>
      </c>
      <c r="M146">
        <v>2</v>
      </c>
      <c r="N146">
        <v>1</v>
      </c>
      <c r="O146">
        <v>3</v>
      </c>
      <c r="P146">
        <v>6</v>
      </c>
      <c r="Q146">
        <v>7</v>
      </c>
      <c r="R146">
        <v>4</v>
      </c>
      <c r="S146">
        <v>10</v>
      </c>
      <c r="T146">
        <v>11</v>
      </c>
      <c r="U146">
        <v>9</v>
      </c>
      <c r="V146">
        <v>12</v>
      </c>
      <c r="W146">
        <v>8</v>
      </c>
      <c r="X146">
        <v>5</v>
      </c>
      <c r="Y146">
        <f>COUNTA(OfficeForms.Table[[#This Row],[elements_shelters]:[elements_restspots]])</f>
        <v>12</v>
      </c>
      <c r="Z146">
        <v>1</v>
      </c>
      <c r="AA146">
        <v>2</v>
      </c>
      <c r="AB146">
        <v>6</v>
      </c>
      <c r="AC146">
        <v>4</v>
      </c>
      <c r="AD146">
        <v>8</v>
      </c>
      <c r="AE146">
        <v>7</v>
      </c>
      <c r="AF146">
        <v>5</v>
      </c>
      <c r="AG146">
        <v>3</v>
      </c>
      <c r="AH146">
        <f>COUNTA(OfficeForms.Table[[#This Row],[pnuw_walktrails]:[pnuw_restspots]])</f>
        <v>8</v>
      </c>
      <c r="AI146" s="4" t="s">
        <v>461</v>
      </c>
      <c r="AJ146" s="4" t="s">
        <v>80</v>
      </c>
      <c r="AK146" s="4" t="s">
        <v>60</v>
      </c>
      <c r="AL146" s="4"/>
      <c r="AM146" s="4"/>
      <c r="AN146" s="4"/>
      <c r="AO146" s="4"/>
      <c r="AP146" s="4"/>
      <c r="AQ146" s="4"/>
      <c r="AR146" s="4"/>
      <c r="AS146" s="4"/>
      <c r="AT146" s="4" t="s">
        <v>81</v>
      </c>
      <c r="AU146" s="4" t="s">
        <v>64</v>
      </c>
      <c r="AV146" s="4" t="s">
        <v>74</v>
      </c>
      <c r="AW146" s="4" t="s">
        <v>298</v>
      </c>
      <c r="AX146" s="4" t="s">
        <v>298</v>
      </c>
      <c r="AY146" s="5"/>
    </row>
    <row r="147" spans="1:51" hidden="1" x14ac:dyDescent="0.3">
      <c r="A147">
        <v>146</v>
      </c>
      <c r="B147" s="3">
        <v>45900.4207060185</v>
      </c>
      <c r="C147" s="3">
        <v>45900.4217361111</v>
      </c>
      <c r="D147" s="4" t="s">
        <v>49</v>
      </c>
      <c r="E147" s="4" t="s">
        <v>50</v>
      </c>
      <c r="F147" s="5" t="s">
        <v>462</v>
      </c>
      <c r="G147" s="4" t="s">
        <v>132</v>
      </c>
      <c r="H147" s="2">
        <v>45874</v>
      </c>
      <c r="I147" s="4" t="s">
        <v>53</v>
      </c>
      <c r="J147" s="4" t="s">
        <v>85</v>
      </c>
      <c r="K147" s="4" t="s">
        <v>78</v>
      </c>
      <c r="L147" s="4" t="s">
        <v>56</v>
      </c>
      <c r="M147">
        <v>9</v>
      </c>
      <c r="N147">
        <v>1</v>
      </c>
      <c r="O147">
        <v>2</v>
      </c>
      <c r="P147">
        <v>3</v>
      </c>
      <c r="Q147">
        <v>4</v>
      </c>
      <c r="R147">
        <v>5</v>
      </c>
      <c r="S147">
        <v>10</v>
      </c>
      <c r="T147">
        <v>8</v>
      </c>
      <c r="U147">
        <v>7</v>
      </c>
      <c r="V147">
        <v>12</v>
      </c>
      <c r="W147">
        <v>6</v>
      </c>
      <c r="X147">
        <v>11</v>
      </c>
      <c r="Y147">
        <f>COUNTA(OfficeForms.Table[[#This Row],[elements_shelters]:[elements_restspots]])</f>
        <v>12</v>
      </c>
      <c r="Z147">
        <v>1</v>
      </c>
      <c r="AA147">
        <v>2</v>
      </c>
      <c r="AB147">
        <v>3</v>
      </c>
      <c r="AC147">
        <v>4</v>
      </c>
      <c r="AD147">
        <v>6</v>
      </c>
      <c r="AE147">
        <v>7</v>
      </c>
      <c r="AF147">
        <v>5</v>
      </c>
      <c r="AG147">
        <v>8</v>
      </c>
      <c r="AH147">
        <f>COUNTA(OfficeForms.Table[[#This Row],[pnuw_walktrails]:[pnuw_restspots]])</f>
        <v>8</v>
      </c>
      <c r="AI147" s="4" t="s">
        <v>461</v>
      </c>
      <c r="AJ147" s="4" t="s">
        <v>80</v>
      </c>
      <c r="AK147" s="4" t="s">
        <v>60</v>
      </c>
      <c r="AL147" s="4"/>
      <c r="AM147" s="4"/>
      <c r="AN147" s="4"/>
      <c r="AO147" s="4"/>
      <c r="AP147" s="4"/>
      <c r="AQ147" s="4"/>
      <c r="AR147" s="4"/>
      <c r="AS147" s="4"/>
      <c r="AT147" s="4" t="s">
        <v>63</v>
      </c>
      <c r="AU147" s="4" t="s">
        <v>73</v>
      </c>
      <c r="AV147" s="4" t="s">
        <v>74</v>
      </c>
      <c r="AW147" s="4" t="s">
        <v>463</v>
      </c>
      <c r="AX147" s="4" t="s">
        <v>464</v>
      </c>
      <c r="AY147" s="5"/>
    </row>
    <row r="148" spans="1:51" hidden="1" x14ac:dyDescent="0.3">
      <c r="A148">
        <v>147</v>
      </c>
      <c r="B148" s="3">
        <v>45900.421805555598</v>
      </c>
      <c r="C148" s="3">
        <v>45900.423726851797</v>
      </c>
      <c r="D148" s="4" t="s">
        <v>49</v>
      </c>
      <c r="E148" s="4" t="s">
        <v>50</v>
      </c>
      <c r="F148" s="5" t="s">
        <v>465</v>
      </c>
      <c r="G148" s="4" t="s">
        <v>132</v>
      </c>
      <c r="H148" s="2">
        <v>45875</v>
      </c>
      <c r="I148" s="4" t="s">
        <v>53</v>
      </c>
      <c r="J148" s="4" t="s">
        <v>85</v>
      </c>
      <c r="K148" s="4" t="s">
        <v>78</v>
      </c>
      <c r="L148" s="4" t="s">
        <v>86</v>
      </c>
      <c r="M148">
        <v>9</v>
      </c>
      <c r="N148">
        <v>6</v>
      </c>
      <c r="O148">
        <v>2</v>
      </c>
      <c r="P148">
        <v>11</v>
      </c>
      <c r="Q148">
        <v>12</v>
      </c>
      <c r="R148">
        <v>3</v>
      </c>
      <c r="S148">
        <v>5</v>
      </c>
      <c r="T148">
        <v>8</v>
      </c>
      <c r="U148">
        <v>7</v>
      </c>
      <c r="V148">
        <v>10</v>
      </c>
      <c r="W148">
        <v>1</v>
      </c>
      <c r="X148">
        <v>4</v>
      </c>
      <c r="Y148">
        <f>COUNTA(OfficeForms.Table[[#This Row],[elements_shelters]:[elements_restspots]])</f>
        <v>12</v>
      </c>
      <c r="Z148">
        <v>3</v>
      </c>
      <c r="AA148">
        <v>8</v>
      </c>
      <c r="AB148">
        <v>5</v>
      </c>
      <c r="AC148">
        <v>1</v>
      </c>
      <c r="AD148">
        <v>6</v>
      </c>
      <c r="AE148">
        <v>4</v>
      </c>
      <c r="AF148">
        <v>2</v>
      </c>
      <c r="AG148">
        <v>7</v>
      </c>
      <c r="AH148">
        <f>COUNTA(OfficeForms.Table[[#This Row],[pnuw_walktrails]:[pnuw_restspots]])</f>
        <v>8</v>
      </c>
      <c r="AI148" s="4" t="s">
        <v>117</v>
      </c>
      <c r="AJ148" s="4" t="s">
        <v>72</v>
      </c>
      <c r="AK148" s="4" t="s">
        <v>59</v>
      </c>
      <c r="AL148" s="4" t="s">
        <v>60</v>
      </c>
      <c r="AM148" s="4"/>
      <c r="AN148" s="4" t="s">
        <v>61</v>
      </c>
      <c r="AO148" s="4"/>
      <c r="AP148" s="4" t="s">
        <v>59</v>
      </c>
      <c r="AQ148" s="4" t="s">
        <v>466</v>
      </c>
      <c r="AR148" s="4" t="s">
        <v>61</v>
      </c>
      <c r="AS148" s="4"/>
      <c r="AT148" s="4" t="s">
        <v>63</v>
      </c>
      <c r="AU148" s="4" t="s">
        <v>73</v>
      </c>
      <c r="AV148" s="4" t="s">
        <v>82</v>
      </c>
      <c r="AW148" s="4" t="s">
        <v>467</v>
      </c>
      <c r="AX148" s="4" t="s">
        <v>468</v>
      </c>
      <c r="AY148" s="5"/>
    </row>
    <row r="149" spans="1:51" hidden="1" x14ac:dyDescent="0.3">
      <c r="A149">
        <v>148</v>
      </c>
      <c r="B149" s="3">
        <v>45900.423842592601</v>
      </c>
      <c r="C149" s="3">
        <v>45900.425138888902</v>
      </c>
      <c r="D149" s="4" t="s">
        <v>49</v>
      </c>
      <c r="E149" s="4" t="s">
        <v>50</v>
      </c>
      <c r="F149" s="5" t="s">
        <v>469</v>
      </c>
      <c r="G149" s="4" t="s">
        <v>132</v>
      </c>
      <c r="H149" s="2">
        <v>45875</v>
      </c>
      <c r="I149" s="4" t="s">
        <v>53</v>
      </c>
      <c r="J149" s="4" t="s">
        <v>85</v>
      </c>
      <c r="K149" s="4" t="s">
        <v>78</v>
      </c>
      <c r="L149" s="4" t="s">
        <v>56</v>
      </c>
      <c r="M149">
        <v>9</v>
      </c>
      <c r="N149">
        <v>5</v>
      </c>
      <c r="O149">
        <v>7</v>
      </c>
      <c r="P149">
        <v>8</v>
      </c>
      <c r="Q149">
        <v>12</v>
      </c>
      <c r="R149">
        <v>6</v>
      </c>
      <c r="S149">
        <v>1</v>
      </c>
      <c r="T149">
        <v>3</v>
      </c>
      <c r="U149">
        <v>2</v>
      </c>
      <c r="V149">
        <v>11</v>
      </c>
      <c r="W149">
        <v>4</v>
      </c>
      <c r="X149">
        <v>10</v>
      </c>
      <c r="Y149">
        <f>COUNTA(OfficeForms.Table[[#This Row],[elements_shelters]:[elements_restspots]])</f>
        <v>12</v>
      </c>
      <c r="Z149">
        <v>3</v>
      </c>
      <c r="AA149">
        <v>4</v>
      </c>
      <c r="AB149">
        <v>6</v>
      </c>
      <c r="AC149">
        <v>1</v>
      </c>
      <c r="AD149">
        <v>2</v>
      </c>
      <c r="AE149">
        <v>8</v>
      </c>
      <c r="AF149">
        <v>5</v>
      </c>
      <c r="AG149">
        <v>7</v>
      </c>
      <c r="AH149">
        <f>COUNTA(OfficeForms.Table[[#This Row],[pnuw_walktrails]:[pnuw_restspots]])</f>
        <v>8</v>
      </c>
      <c r="AI149" s="4" t="s">
        <v>117</v>
      </c>
      <c r="AJ149" s="4" t="s">
        <v>58</v>
      </c>
      <c r="AK149" s="4" t="s">
        <v>59</v>
      </c>
      <c r="AL149" s="4" t="s">
        <v>60</v>
      </c>
      <c r="AM149" s="4"/>
      <c r="AN149" s="4" t="s">
        <v>61</v>
      </c>
      <c r="AO149" s="4"/>
      <c r="AP149" s="4" t="s">
        <v>59</v>
      </c>
      <c r="AQ149" s="4" t="s">
        <v>466</v>
      </c>
      <c r="AR149" s="4" t="s">
        <v>61</v>
      </c>
      <c r="AS149" s="4"/>
      <c r="AT149" s="4" t="s">
        <v>81</v>
      </c>
      <c r="AU149" s="4" t="s">
        <v>73</v>
      </c>
      <c r="AV149" s="4" t="s">
        <v>82</v>
      </c>
      <c r="AW149" s="4" t="s">
        <v>467</v>
      </c>
      <c r="AX149" s="4" t="s">
        <v>468</v>
      </c>
      <c r="AY149" s="5"/>
    </row>
    <row r="150" spans="1:51" hidden="1" x14ac:dyDescent="0.3">
      <c r="A150">
        <v>149</v>
      </c>
      <c r="B150" s="3">
        <v>45900.425162036998</v>
      </c>
      <c r="C150" s="3">
        <v>45900.426296296297</v>
      </c>
      <c r="D150" s="4" t="s">
        <v>49</v>
      </c>
      <c r="E150" s="4" t="s">
        <v>50</v>
      </c>
      <c r="F150" s="5" t="s">
        <v>470</v>
      </c>
      <c r="G150" s="4" t="s">
        <v>132</v>
      </c>
      <c r="H150" s="2">
        <v>45875</v>
      </c>
      <c r="I150" s="4" t="s">
        <v>53</v>
      </c>
      <c r="J150" s="4" t="s">
        <v>54</v>
      </c>
      <c r="K150" s="4" t="s">
        <v>78</v>
      </c>
      <c r="L150" s="4" t="s">
        <v>56</v>
      </c>
      <c r="M150">
        <v>4</v>
      </c>
      <c r="N150">
        <v>1</v>
      </c>
      <c r="O150">
        <v>2</v>
      </c>
      <c r="P150">
        <v>3</v>
      </c>
      <c r="Q150">
        <v>11</v>
      </c>
      <c r="R150">
        <v>9</v>
      </c>
      <c r="S150">
        <v>10</v>
      </c>
      <c r="T150">
        <v>5</v>
      </c>
      <c r="U150">
        <v>6</v>
      </c>
      <c r="V150">
        <v>12</v>
      </c>
      <c r="W150">
        <v>8</v>
      </c>
      <c r="X150">
        <v>7</v>
      </c>
      <c r="Y150">
        <f>COUNTA(OfficeForms.Table[[#This Row],[elements_shelters]:[elements_restspots]])</f>
        <v>12</v>
      </c>
      <c r="Z150">
        <v>1</v>
      </c>
      <c r="AA150">
        <v>6</v>
      </c>
      <c r="AB150">
        <v>5</v>
      </c>
      <c r="AC150">
        <v>7</v>
      </c>
      <c r="AD150">
        <v>4</v>
      </c>
      <c r="AE150">
        <v>3</v>
      </c>
      <c r="AF150">
        <v>8</v>
      </c>
      <c r="AG150">
        <v>2</v>
      </c>
      <c r="AH150">
        <f>COUNTA(OfficeForms.Table[[#This Row],[pnuw_walktrails]:[pnuw_restspots]])</f>
        <v>8</v>
      </c>
      <c r="AI150" s="4" t="s">
        <v>471</v>
      </c>
      <c r="AJ150" s="4" t="s">
        <v>88</v>
      </c>
      <c r="AK150" s="4" t="s">
        <v>60</v>
      </c>
      <c r="AL150" s="4"/>
      <c r="AM150" s="4"/>
      <c r="AN150" s="4"/>
      <c r="AO150" s="4"/>
      <c r="AP150" s="4"/>
      <c r="AQ150" s="4"/>
      <c r="AR150" s="4"/>
      <c r="AS150" s="4"/>
      <c r="AT150" s="4" t="s">
        <v>81</v>
      </c>
      <c r="AU150" s="4" t="s">
        <v>64</v>
      </c>
      <c r="AV150" s="4" t="s">
        <v>99</v>
      </c>
      <c r="AW150" s="4" t="s">
        <v>95</v>
      </c>
      <c r="AX150" s="4" t="s">
        <v>95</v>
      </c>
      <c r="AY150" s="5"/>
    </row>
    <row r="151" spans="1:51" hidden="1" x14ac:dyDescent="0.3">
      <c r="A151">
        <v>150</v>
      </c>
      <c r="B151" s="3">
        <v>45900.426331018498</v>
      </c>
      <c r="C151" s="3">
        <v>45900.428634259297</v>
      </c>
      <c r="D151" s="4" t="s">
        <v>49</v>
      </c>
      <c r="E151" s="4" t="s">
        <v>50</v>
      </c>
      <c r="F151" s="5" t="s">
        <v>472</v>
      </c>
      <c r="G151" s="4" t="s">
        <v>132</v>
      </c>
      <c r="H151" s="2">
        <v>45875</v>
      </c>
      <c r="I151" s="4" t="s">
        <v>53</v>
      </c>
      <c r="J151" s="4" t="s">
        <v>54</v>
      </c>
      <c r="K151" s="4" t="s">
        <v>78</v>
      </c>
      <c r="L151" s="4" t="s">
        <v>56</v>
      </c>
      <c r="M151">
        <v>9</v>
      </c>
      <c r="N151">
        <v>1</v>
      </c>
      <c r="O151">
        <v>2</v>
      </c>
      <c r="P151">
        <v>3</v>
      </c>
      <c r="Q151">
        <v>8</v>
      </c>
      <c r="R151">
        <v>6</v>
      </c>
      <c r="S151">
        <v>7</v>
      </c>
      <c r="T151">
        <v>12</v>
      </c>
      <c r="U151">
        <v>11</v>
      </c>
      <c r="V151">
        <v>10</v>
      </c>
      <c r="W151">
        <v>5</v>
      </c>
      <c r="X151">
        <v>4</v>
      </c>
      <c r="Y151">
        <f>COUNTA(OfficeForms.Table[[#This Row],[elements_shelters]:[elements_restspots]])</f>
        <v>12</v>
      </c>
      <c r="Z151">
        <v>1</v>
      </c>
      <c r="AH151">
        <f>COUNTA(OfficeForms.Table[[#This Row],[pnuw_walktrails]:[pnuw_restspots]])</f>
        <v>1</v>
      </c>
      <c r="AI151" s="4" t="s">
        <v>473</v>
      </c>
      <c r="AJ151" s="4" t="s">
        <v>88</v>
      </c>
      <c r="AK151" s="4" t="s">
        <v>60</v>
      </c>
      <c r="AL151" s="4"/>
      <c r="AM151" s="4"/>
      <c r="AN151" s="4"/>
      <c r="AO151" s="4"/>
      <c r="AP151" s="4"/>
      <c r="AQ151" s="4"/>
      <c r="AR151" s="4"/>
      <c r="AS151" s="4"/>
      <c r="AT151" s="4" t="s">
        <v>63</v>
      </c>
      <c r="AU151" s="4" t="s">
        <v>73</v>
      </c>
      <c r="AV151" s="4" t="s">
        <v>99</v>
      </c>
      <c r="AW151" s="4" t="s">
        <v>95</v>
      </c>
      <c r="AX151" s="4" t="s">
        <v>95</v>
      </c>
      <c r="AY151" s="5"/>
    </row>
    <row r="152" spans="1:51" hidden="1" x14ac:dyDescent="0.3">
      <c r="A152">
        <v>151</v>
      </c>
      <c r="B152" s="3">
        <v>45900.428657407399</v>
      </c>
      <c r="C152" s="3">
        <v>45900.429907407401</v>
      </c>
      <c r="D152" s="4" t="s">
        <v>49</v>
      </c>
      <c r="E152" s="4" t="s">
        <v>50</v>
      </c>
      <c r="F152" s="5" t="s">
        <v>474</v>
      </c>
      <c r="G152" s="4" t="s">
        <v>132</v>
      </c>
      <c r="H152" s="2">
        <v>45875</v>
      </c>
      <c r="I152" s="4" t="s">
        <v>53</v>
      </c>
      <c r="J152" s="4" t="s">
        <v>85</v>
      </c>
      <c r="K152" s="4" t="s">
        <v>78</v>
      </c>
      <c r="L152" s="4" t="s">
        <v>56</v>
      </c>
      <c r="M152">
        <v>9</v>
      </c>
      <c r="N152">
        <v>1</v>
      </c>
      <c r="O152">
        <v>3</v>
      </c>
      <c r="P152">
        <v>10</v>
      </c>
      <c r="Q152">
        <v>12</v>
      </c>
      <c r="R152">
        <v>4</v>
      </c>
      <c r="S152">
        <v>7</v>
      </c>
      <c r="T152">
        <v>6</v>
      </c>
      <c r="U152">
        <v>8</v>
      </c>
      <c r="V152">
        <v>11</v>
      </c>
      <c r="W152">
        <v>2</v>
      </c>
      <c r="X152">
        <v>5</v>
      </c>
      <c r="Y152">
        <f>COUNTA(OfficeForms.Table[[#This Row],[elements_shelters]:[elements_restspots]])</f>
        <v>12</v>
      </c>
      <c r="Z152">
        <v>1</v>
      </c>
      <c r="AA152">
        <v>2</v>
      </c>
      <c r="AB152">
        <v>8</v>
      </c>
      <c r="AC152">
        <v>5</v>
      </c>
      <c r="AD152">
        <v>6</v>
      </c>
      <c r="AE152">
        <v>7</v>
      </c>
      <c r="AF152">
        <v>3</v>
      </c>
      <c r="AG152">
        <v>4</v>
      </c>
      <c r="AH152">
        <f>COUNTA(OfficeForms.Table[[#This Row],[pnuw_walktrails]:[pnuw_restspots]])</f>
        <v>8</v>
      </c>
      <c r="AI152" s="4" t="s">
        <v>475</v>
      </c>
      <c r="AJ152" s="4" t="s">
        <v>72</v>
      </c>
      <c r="AK152" s="4" t="s">
        <v>60</v>
      </c>
      <c r="AL152" s="4"/>
      <c r="AM152" s="4"/>
      <c r="AN152" s="4"/>
      <c r="AO152" s="4"/>
      <c r="AP152" s="4"/>
      <c r="AQ152" s="4"/>
      <c r="AR152" s="4"/>
      <c r="AS152" s="4"/>
      <c r="AT152" s="4" t="s">
        <v>63</v>
      </c>
      <c r="AU152" s="4" t="s">
        <v>73</v>
      </c>
      <c r="AV152" s="4" t="s">
        <v>125</v>
      </c>
      <c r="AW152" s="4" t="s">
        <v>95</v>
      </c>
      <c r="AX152" s="4" t="s">
        <v>95</v>
      </c>
      <c r="AY152" s="5"/>
    </row>
    <row r="153" spans="1:51" hidden="1" x14ac:dyDescent="0.3">
      <c r="A153">
        <v>152</v>
      </c>
      <c r="B153" s="3">
        <v>45900.429930555598</v>
      </c>
      <c r="C153" s="3">
        <v>45900.431296296301</v>
      </c>
      <c r="D153" s="4" t="s">
        <v>49</v>
      </c>
      <c r="E153" s="4" t="s">
        <v>50</v>
      </c>
      <c r="F153" s="5" t="s">
        <v>476</v>
      </c>
      <c r="G153" s="4" t="s">
        <v>132</v>
      </c>
      <c r="H153" s="2">
        <v>45875</v>
      </c>
      <c r="I153" s="4" t="s">
        <v>53</v>
      </c>
      <c r="J153" s="4" t="s">
        <v>85</v>
      </c>
      <c r="K153" s="4" t="s">
        <v>78</v>
      </c>
      <c r="L153" s="4" t="s">
        <v>56</v>
      </c>
      <c r="M153">
        <v>9</v>
      </c>
      <c r="N153">
        <v>1</v>
      </c>
      <c r="O153">
        <v>2</v>
      </c>
      <c r="P153">
        <v>6</v>
      </c>
      <c r="Q153">
        <v>12</v>
      </c>
      <c r="R153">
        <v>4</v>
      </c>
      <c r="S153">
        <v>8</v>
      </c>
      <c r="T153">
        <v>7</v>
      </c>
      <c r="U153">
        <v>10</v>
      </c>
      <c r="V153">
        <v>11</v>
      </c>
      <c r="W153">
        <v>3</v>
      </c>
      <c r="X153">
        <v>5</v>
      </c>
      <c r="Y153">
        <f>COUNTA(OfficeForms.Table[[#This Row],[elements_shelters]:[elements_restspots]])</f>
        <v>12</v>
      </c>
      <c r="Z153">
        <v>1</v>
      </c>
      <c r="AA153">
        <v>2</v>
      </c>
      <c r="AB153">
        <v>8</v>
      </c>
      <c r="AC153">
        <v>5</v>
      </c>
      <c r="AD153">
        <v>6</v>
      </c>
      <c r="AE153">
        <v>4</v>
      </c>
      <c r="AF153">
        <v>3</v>
      </c>
      <c r="AG153">
        <v>7</v>
      </c>
      <c r="AH153">
        <f>COUNTA(OfficeForms.Table[[#This Row],[pnuw_walktrails]:[pnuw_restspots]])</f>
        <v>8</v>
      </c>
      <c r="AI153" s="4" t="s">
        <v>117</v>
      </c>
      <c r="AJ153" s="4" t="s">
        <v>72</v>
      </c>
      <c r="AK153" s="4" t="s">
        <v>60</v>
      </c>
      <c r="AL153" s="4"/>
      <c r="AM153" s="4"/>
      <c r="AN153" s="4"/>
      <c r="AO153" s="4"/>
      <c r="AP153" s="4"/>
      <c r="AQ153" s="4"/>
      <c r="AR153" s="4"/>
      <c r="AS153" s="4"/>
      <c r="AT153" s="4" t="s">
        <v>63</v>
      </c>
      <c r="AU153" s="4" t="s">
        <v>73</v>
      </c>
      <c r="AV153" s="4" t="s">
        <v>65</v>
      </c>
      <c r="AW153" s="4" t="s">
        <v>95</v>
      </c>
      <c r="AX153" s="4" t="s">
        <v>95</v>
      </c>
      <c r="AY153" s="5"/>
    </row>
    <row r="154" spans="1:51" hidden="1" x14ac:dyDescent="0.3">
      <c r="A154">
        <v>153</v>
      </c>
      <c r="B154" s="3">
        <v>45900.431400463</v>
      </c>
      <c r="C154" s="3">
        <v>45900.4324768519</v>
      </c>
      <c r="D154" s="4" t="s">
        <v>49</v>
      </c>
      <c r="E154" s="4" t="s">
        <v>50</v>
      </c>
      <c r="F154" s="5" t="s">
        <v>477</v>
      </c>
      <c r="G154" s="4" t="s">
        <v>132</v>
      </c>
      <c r="H154" s="2">
        <v>45875</v>
      </c>
      <c r="I154" s="4" t="s">
        <v>53</v>
      </c>
      <c r="J154" s="4" t="s">
        <v>69</v>
      </c>
      <c r="K154" s="4" t="s">
        <v>78</v>
      </c>
      <c r="L154" s="4" t="s">
        <v>56</v>
      </c>
      <c r="M154">
        <v>8</v>
      </c>
      <c r="N154">
        <v>1</v>
      </c>
      <c r="O154">
        <v>6</v>
      </c>
      <c r="P154">
        <v>7</v>
      </c>
      <c r="Q154">
        <v>9</v>
      </c>
      <c r="R154">
        <v>2</v>
      </c>
      <c r="S154">
        <v>3</v>
      </c>
      <c r="T154">
        <v>10</v>
      </c>
      <c r="U154">
        <v>5</v>
      </c>
      <c r="V154">
        <v>11</v>
      </c>
      <c r="W154">
        <v>12</v>
      </c>
      <c r="X154">
        <v>4</v>
      </c>
      <c r="Y154">
        <f>COUNTA(OfficeForms.Table[[#This Row],[elements_shelters]:[elements_restspots]])</f>
        <v>12</v>
      </c>
      <c r="Z154">
        <v>1</v>
      </c>
      <c r="AA154">
        <v>2</v>
      </c>
      <c r="AB154">
        <v>7</v>
      </c>
      <c r="AC154">
        <v>8</v>
      </c>
      <c r="AD154">
        <v>3</v>
      </c>
      <c r="AE154">
        <v>4</v>
      </c>
      <c r="AF154">
        <v>5</v>
      </c>
      <c r="AG154">
        <v>6</v>
      </c>
      <c r="AH154">
        <f>COUNTA(OfficeForms.Table[[#This Row],[pnuw_walktrails]:[pnuw_restspots]])</f>
        <v>8</v>
      </c>
      <c r="AI154" s="4" t="s">
        <v>117</v>
      </c>
      <c r="AJ154" s="4" t="s">
        <v>88</v>
      </c>
      <c r="AK154" s="4" t="s">
        <v>60</v>
      </c>
      <c r="AL154" s="4"/>
      <c r="AM154" s="4"/>
      <c r="AN154" s="4"/>
      <c r="AO154" s="4"/>
      <c r="AP154" s="4"/>
      <c r="AQ154" s="4"/>
      <c r="AR154" s="4"/>
      <c r="AS154" s="4"/>
      <c r="AT154" s="4" t="s">
        <v>63</v>
      </c>
      <c r="AU154" s="4" t="s">
        <v>73</v>
      </c>
      <c r="AV154" s="4" t="s">
        <v>74</v>
      </c>
      <c r="AW154" s="4" t="s">
        <v>478</v>
      </c>
      <c r="AX154" s="4" t="s">
        <v>478</v>
      </c>
      <c r="AY154" s="5"/>
    </row>
    <row r="155" spans="1:51" hidden="1" x14ac:dyDescent="0.3">
      <c r="A155">
        <v>154</v>
      </c>
      <c r="B155" s="3">
        <v>45900.432592592602</v>
      </c>
      <c r="C155" s="3">
        <v>45900.433611111097</v>
      </c>
      <c r="D155" s="4" t="s">
        <v>49</v>
      </c>
      <c r="E155" s="4" t="s">
        <v>50</v>
      </c>
      <c r="F155" s="5" t="s">
        <v>479</v>
      </c>
      <c r="G155" s="4" t="s">
        <v>132</v>
      </c>
      <c r="H155" s="2">
        <v>45875</v>
      </c>
      <c r="I155" s="4" t="s">
        <v>53</v>
      </c>
      <c r="J155" s="4" t="s">
        <v>85</v>
      </c>
      <c r="K155" s="4" t="s">
        <v>78</v>
      </c>
      <c r="L155" s="4" t="s">
        <v>56</v>
      </c>
      <c r="M155">
        <v>10</v>
      </c>
      <c r="N155">
        <v>1</v>
      </c>
      <c r="O155">
        <v>11</v>
      </c>
      <c r="P155">
        <v>2</v>
      </c>
      <c r="Q155">
        <v>9</v>
      </c>
      <c r="R155">
        <v>7</v>
      </c>
      <c r="S155">
        <v>3</v>
      </c>
      <c r="T155">
        <v>4</v>
      </c>
      <c r="U155">
        <v>8</v>
      </c>
      <c r="V155">
        <v>12</v>
      </c>
      <c r="W155">
        <v>5</v>
      </c>
      <c r="X155">
        <v>6</v>
      </c>
      <c r="Y155">
        <f>COUNTA(OfficeForms.Table[[#This Row],[elements_shelters]:[elements_restspots]])</f>
        <v>12</v>
      </c>
      <c r="Z155">
        <v>1</v>
      </c>
      <c r="AA155">
        <v>6</v>
      </c>
      <c r="AB155">
        <v>5</v>
      </c>
      <c r="AC155">
        <v>4</v>
      </c>
      <c r="AD155">
        <v>2</v>
      </c>
      <c r="AE155">
        <v>8</v>
      </c>
      <c r="AF155">
        <v>7</v>
      </c>
      <c r="AG155">
        <v>3</v>
      </c>
      <c r="AH155">
        <f>COUNTA(OfficeForms.Table[[#This Row],[pnuw_walktrails]:[pnuw_restspots]])</f>
        <v>8</v>
      </c>
      <c r="AI155" s="4" t="s">
        <v>117</v>
      </c>
      <c r="AJ155" s="4" t="s">
        <v>80</v>
      </c>
      <c r="AK155" s="4" t="s">
        <v>60</v>
      </c>
      <c r="AL155" s="4"/>
      <c r="AM155" s="4"/>
      <c r="AN155" s="4"/>
      <c r="AO155" s="4"/>
      <c r="AP155" s="4"/>
      <c r="AQ155" s="4"/>
      <c r="AR155" s="4"/>
      <c r="AS155" s="4"/>
      <c r="AT155" s="4" t="s">
        <v>63</v>
      </c>
      <c r="AU155" s="4" t="s">
        <v>73</v>
      </c>
      <c r="AV155" s="4" t="s">
        <v>125</v>
      </c>
      <c r="AW155" s="4" t="s">
        <v>480</v>
      </c>
      <c r="AX155" s="4" t="s">
        <v>480</v>
      </c>
      <c r="AY155" s="5"/>
    </row>
    <row r="156" spans="1:51" hidden="1" x14ac:dyDescent="0.3">
      <c r="A156">
        <v>155</v>
      </c>
      <c r="B156" s="3">
        <v>45900.433738425898</v>
      </c>
      <c r="C156" s="3">
        <v>45900.434942129599</v>
      </c>
      <c r="D156" s="4" t="s">
        <v>49</v>
      </c>
      <c r="E156" s="4" t="s">
        <v>50</v>
      </c>
      <c r="F156" s="5" t="s">
        <v>481</v>
      </c>
      <c r="G156" s="4" t="s">
        <v>132</v>
      </c>
      <c r="H156" s="2">
        <v>45875</v>
      </c>
      <c r="I156" s="4" t="s">
        <v>53</v>
      </c>
      <c r="J156" s="4" t="s">
        <v>54</v>
      </c>
      <c r="K156" s="4" t="s">
        <v>78</v>
      </c>
      <c r="L156" s="4" t="s">
        <v>56</v>
      </c>
      <c r="M156">
        <v>8</v>
      </c>
      <c r="N156">
        <v>1</v>
      </c>
      <c r="O156">
        <v>9</v>
      </c>
      <c r="P156">
        <v>2</v>
      </c>
      <c r="Q156">
        <v>12</v>
      </c>
      <c r="R156">
        <v>3</v>
      </c>
      <c r="S156">
        <v>5</v>
      </c>
      <c r="T156">
        <v>7</v>
      </c>
      <c r="U156">
        <v>6</v>
      </c>
      <c r="V156">
        <v>11</v>
      </c>
      <c r="W156">
        <v>10</v>
      </c>
      <c r="X156">
        <v>4</v>
      </c>
      <c r="Y156">
        <f>COUNTA(OfficeForms.Table[[#This Row],[elements_shelters]:[elements_restspots]])</f>
        <v>12</v>
      </c>
      <c r="Z156">
        <v>1</v>
      </c>
      <c r="AA156">
        <v>4</v>
      </c>
      <c r="AB156">
        <v>3</v>
      </c>
      <c r="AC156">
        <v>5</v>
      </c>
      <c r="AD156">
        <v>2</v>
      </c>
      <c r="AE156">
        <v>6</v>
      </c>
      <c r="AF156">
        <v>8</v>
      </c>
      <c r="AG156">
        <v>7</v>
      </c>
      <c r="AH156">
        <f>COUNTA(OfficeForms.Table[[#This Row],[pnuw_walktrails]:[pnuw_restspots]])</f>
        <v>8</v>
      </c>
      <c r="AI156" s="4" t="s">
        <v>385</v>
      </c>
      <c r="AJ156" s="4" t="s">
        <v>80</v>
      </c>
      <c r="AK156" s="4" t="s">
        <v>60</v>
      </c>
      <c r="AL156" s="4"/>
      <c r="AM156" s="4"/>
      <c r="AN156" s="4"/>
      <c r="AO156" s="4"/>
      <c r="AP156" s="4"/>
      <c r="AQ156" s="4"/>
      <c r="AR156" s="4"/>
      <c r="AS156" s="4"/>
      <c r="AT156" s="4" t="s">
        <v>63</v>
      </c>
      <c r="AU156" s="4" t="s">
        <v>73</v>
      </c>
      <c r="AV156" s="4" t="s">
        <v>65</v>
      </c>
      <c r="AW156" s="4" t="s">
        <v>482</v>
      </c>
      <c r="AX156" s="4" t="s">
        <v>67</v>
      </c>
      <c r="AY156" s="5"/>
    </row>
    <row r="157" spans="1:51" hidden="1" x14ac:dyDescent="0.3">
      <c r="A157">
        <v>156</v>
      </c>
      <c r="B157" s="3">
        <v>45900.435011574104</v>
      </c>
      <c r="C157" s="3">
        <v>45900.436585648102</v>
      </c>
      <c r="D157" s="4" t="s">
        <v>49</v>
      </c>
      <c r="E157" s="4" t="s">
        <v>50</v>
      </c>
      <c r="F157" s="5" t="s">
        <v>483</v>
      </c>
      <c r="G157" s="4" t="s">
        <v>132</v>
      </c>
      <c r="H157" s="2">
        <v>45875</v>
      </c>
      <c r="I157" s="4" t="s">
        <v>53</v>
      </c>
      <c r="J157" s="4" t="s">
        <v>54</v>
      </c>
      <c r="K157" s="4" t="s">
        <v>103</v>
      </c>
      <c r="L157" s="4" t="s">
        <v>86</v>
      </c>
      <c r="M157">
        <v>10</v>
      </c>
      <c r="N157">
        <v>4</v>
      </c>
      <c r="O157">
        <v>5</v>
      </c>
      <c r="P157">
        <v>8</v>
      </c>
      <c r="Q157">
        <v>12</v>
      </c>
      <c r="R157">
        <v>6</v>
      </c>
      <c r="S157">
        <v>2</v>
      </c>
      <c r="T157">
        <v>3</v>
      </c>
      <c r="U157">
        <v>1</v>
      </c>
      <c r="V157">
        <v>11</v>
      </c>
      <c r="W157">
        <v>9</v>
      </c>
      <c r="X157">
        <v>7</v>
      </c>
      <c r="Y157">
        <f>COUNTA(OfficeForms.Table[[#This Row],[elements_shelters]:[elements_restspots]])</f>
        <v>12</v>
      </c>
      <c r="Z157">
        <v>2</v>
      </c>
      <c r="AA157">
        <v>5</v>
      </c>
      <c r="AB157">
        <v>6</v>
      </c>
      <c r="AC157">
        <v>7</v>
      </c>
      <c r="AD157">
        <v>4</v>
      </c>
      <c r="AE157">
        <v>3</v>
      </c>
      <c r="AF157">
        <v>1</v>
      </c>
      <c r="AG157">
        <v>8</v>
      </c>
      <c r="AH157">
        <f>COUNTA(OfficeForms.Table[[#This Row],[pnuw_walktrails]:[pnuw_restspots]])</f>
        <v>8</v>
      </c>
      <c r="AI157" s="4" t="s">
        <v>484</v>
      </c>
      <c r="AJ157" s="4" t="s">
        <v>88</v>
      </c>
      <c r="AK157" s="4" t="s">
        <v>60</v>
      </c>
      <c r="AL157" s="4"/>
      <c r="AM157" s="4"/>
      <c r="AN157" s="4"/>
      <c r="AO157" s="4"/>
      <c r="AP157" s="4"/>
      <c r="AQ157" s="4"/>
      <c r="AR157" s="4"/>
      <c r="AS157" s="4"/>
      <c r="AT157" s="4" t="s">
        <v>81</v>
      </c>
      <c r="AU157" s="4" t="s">
        <v>73</v>
      </c>
      <c r="AV157" s="4" t="s">
        <v>65</v>
      </c>
      <c r="AW157" s="4" t="s">
        <v>482</v>
      </c>
      <c r="AX157" s="4" t="s">
        <v>67</v>
      </c>
      <c r="AY157" s="5"/>
    </row>
    <row r="158" spans="1:51" hidden="1" x14ac:dyDescent="0.3">
      <c r="A158">
        <v>157</v>
      </c>
      <c r="B158" s="3">
        <v>45900.436631944402</v>
      </c>
      <c r="C158" s="3">
        <v>45900.437974537002</v>
      </c>
      <c r="D158" s="4" t="s">
        <v>49</v>
      </c>
      <c r="E158" s="4" t="s">
        <v>50</v>
      </c>
      <c r="F158" s="5" t="s">
        <v>485</v>
      </c>
      <c r="G158" s="4" t="s">
        <v>132</v>
      </c>
      <c r="H158" s="2">
        <v>45875</v>
      </c>
      <c r="I158" s="4" t="s">
        <v>53</v>
      </c>
      <c r="J158" s="4" t="s">
        <v>85</v>
      </c>
      <c r="K158" s="4" t="s">
        <v>78</v>
      </c>
      <c r="L158" s="4" t="s">
        <v>56</v>
      </c>
      <c r="M158">
        <v>11</v>
      </c>
      <c r="N158">
        <v>5</v>
      </c>
      <c r="O158">
        <v>4</v>
      </c>
      <c r="P158">
        <v>3</v>
      </c>
      <c r="Q158">
        <v>12</v>
      </c>
      <c r="R158">
        <v>1</v>
      </c>
      <c r="S158">
        <v>8</v>
      </c>
      <c r="T158">
        <v>2</v>
      </c>
      <c r="U158">
        <v>9</v>
      </c>
      <c r="V158">
        <v>10</v>
      </c>
      <c r="W158">
        <v>6</v>
      </c>
      <c r="X158">
        <v>7</v>
      </c>
      <c r="Y158">
        <f>COUNTA(OfficeForms.Table[[#This Row],[elements_shelters]:[elements_restspots]])</f>
        <v>12</v>
      </c>
      <c r="Z158">
        <v>2</v>
      </c>
      <c r="AA158">
        <v>3</v>
      </c>
      <c r="AB158">
        <v>1</v>
      </c>
      <c r="AC158">
        <v>4</v>
      </c>
      <c r="AD158">
        <v>5</v>
      </c>
      <c r="AE158">
        <v>8</v>
      </c>
      <c r="AF158">
        <v>7</v>
      </c>
      <c r="AG158">
        <v>6</v>
      </c>
      <c r="AH158">
        <f>COUNTA(OfficeForms.Table[[#This Row],[pnuw_walktrails]:[pnuw_restspots]])</f>
        <v>8</v>
      </c>
      <c r="AI158" s="4" t="s">
        <v>475</v>
      </c>
      <c r="AJ158" s="4" t="s">
        <v>88</v>
      </c>
      <c r="AK158" s="4" t="s">
        <v>59</v>
      </c>
      <c r="AL158" s="4" t="s">
        <v>60</v>
      </c>
      <c r="AM158" s="4"/>
      <c r="AN158" s="4" t="s">
        <v>61</v>
      </c>
      <c r="AO158" s="4"/>
      <c r="AP158" s="4" t="s">
        <v>59</v>
      </c>
      <c r="AQ158" s="4" t="s">
        <v>252</v>
      </c>
      <c r="AR158" s="4" t="s">
        <v>61</v>
      </c>
      <c r="AS158" s="4"/>
      <c r="AT158" s="4" t="s">
        <v>81</v>
      </c>
      <c r="AU158" s="4" t="s">
        <v>64</v>
      </c>
      <c r="AV158" s="4" t="s">
        <v>65</v>
      </c>
      <c r="AW158" s="4" t="s">
        <v>486</v>
      </c>
      <c r="AX158" s="4" t="s">
        <v>486</v>
      </c>
      <c r="AY158" s="5"/>
    </row>
    <row r="159" spans="1:51" hidden="1" x14ac:dyDescent="0.3">
      <c r="A159">
        <v>158</v>
      </c>
      <c r="B159" s="3">
        <v>45900.438113425902</v>
      </c>
      <c r="C159" s="3">
        <v>45900.439456018503</v>
      </c>
      <c r="D159" s="4" t="s">
        <v>49</v>
      </c>
      <c r="E159" s="4" t="s">
        <v>50</v>
      </c>
      <c r="F159" s="5" t="s">
        <v>487</v>
      </c>
      <c r="G159" s="4" t="s">
        <v>132</v>
      </c>
      <c r="H159" s="2">
        <v>45875</v>
      </c>
      <c r="I159" s="4" t="s">
        <v>53</v>
      </c>
      <c r="J159" s="4" t="s">
        <v>85</v>
      </c>
      <c r="K159" s="4" t="s">
        <v>488</v>
      </c>
      <c r="L159" s="4" t="s">
        <v>56</v>
      </c>
      <c r="M159">
        <v>3</v>
      </c>
      <c r="N159">
        <v>4</v>
      </c>
      <c r="O159">
        <v>5</v>
      </c>
      <c r="P159">
        <v>6</v>
      </c>
      <c r="Q159">
        <v>12</v>
      </c>
      <c r="R159">
        <v>7</v>
      </c>
      <c r="S159">
        <v>1</v>
      </c>
      <c r="T159">
        <v>10</v>
      </c>
      <c r="U159">
        <v>11</v>
      </c>
      <c r="V159">
        <v>9</v>
      </c>
      <c r="W159">
        <v>8</v>
      </c>
      <c r="X159">
        <v>2</v>
      </c>
      <c r="Y159">
        <f>COUNTA(OfficeForms.Table[[#This Row],[elements_shelters]:[elements_restspots]])</f>
        <v>12</v>
      </c>
      <c r="Z159">
        <v>2</v>
      </c>
      <c r="AA159">
        <v>3</v>
      </c>
      <c r="AB159">
        <v>5</v>
      </c>
      <c r="AC159">
        <v>6</v>
      </c>
      <c r="AD159">
        <v>4</v>
      </c>
      <c r="AE159">
        <v>8</v>
      </c>
      <c r="AF159">
        <v>7</v>
      </c>
      <c r="AG159">
        <v>1</v>
      </c>
      <c r="AH159">
        <f>COUNTA(OfficeForms.Table[[#This Row],[pnuw_walktrails]:[pnuw_restspots]])</f>
        <v>8</v>
      </c>
      <c r="AI159" s="4" t="s">
        <v>117</v>
      </c>
      <c r="AJ159" s="4" t="s">
        <v>72</v>
      </c>
      <c r="AK159" s="4" t="s">
        <v>59</v>
      </c>
      <c r="AL159" s="4" t="s">
        <v>60</v>
      </c>
      <c r="AM159" s="4"/>
      <c r="AN159" s="4" t="s">
        <v>61</v>
      </c>
      <c r="AO159" s="4"/>
      <c r="AP159" s="4" t="s">
        <v>59</v>
      </c>
      <c r="AQ159" s="4" t="s">
        <v>251</v>
      </c>
      <c r="AR159" s="4" t="s">
        <v>61</v>
      </c>
      <c r="AS159" s="4"/>
      <c r="AT159" s="4" t="s">
        <v>81</v>
      </c>
      <c r="AU159" s="4" t="s">
        <v>73</v>
      </c>
      <c r="AV159" s="4" t="s">
        <v>82</v>
      </c>
      <c r="AW159" s="4" t="s">
        <v>489</v>
      </c>
      <c r="AX159" s="4" t="s">
        <v>490</v>
      </c>
      <c r="AY159" s="5"/>
    </row>
    <row r="160" spans="1:51" hidden="1" x14ac:dyDescent="0.3">
      <c r="A160">
        <v>159</v>
      </c>
      <c r="B160" s="3">
        <v>45900.439583333296</v>
      </c>
      <c r="C160" s="3">
        <v>45900.441122685203</v>
      </c>
      <c r="D160" s="4" t="s">
        <v>49</v>
      </c>
      <c r="E160" s="4" t="s">
        <v>50</v>
      </c>
      <c r="F160" s="5" t="s">
        <v>491</v>
      </c>
      <c r="G160" s="4" t="s">
        <v>132</v>
      </c>
      <c r="H160" s="2">
        <v>45876</v>
      </c>
      <c r="I160" s="4" t="s">
        <v>53</v>
      </c>
      <c r="J160" s="4" t="s">
        <v>85</v>
      </c>
      <c r="K160" s="4" t="s">
        <v>55</v>
      </c>
      <c r="L160" s="4" t="s">
        <v>56</v>
      </c>
      <c r="M160">
        <v>8</v>
      </c>
      <c r="N160">
        <v>1</v>
      </c>
      <c r="O160">
        <v>9</v>
      </c>
      <c r="P160">
        <v>10</v>
      </c>
      <c r="Q160">
        <v>11</v>
      </c>
      <c r="R160">
        <v>2</v>
      </c>
      <c r="S160">
        <v>3</v>
      </c>
      <c r="T160">
        <v>5</v>
      </c>
      <c r="U160">
        <v>4</v>
      </c>
      <c r="V160">
        <v>12</v>
      </c>
      <c r="W160">
        <v>6</v>
      </c>
      <c r="X160">
        <v>7</v>
      </c>
      <c r="Y160">
        <f>COUNTA(OfficeForms.Table[[#This Row],[elements_shelters]:[elements_restspots]])</f>
        <v>12</v>
      </c>
      <c r="Z160">
        <v>1</v>
      </c>
      <c r="AA160">
        <v>2</v>
      </c>
      <c r="AB160">
        <v>3</v>
      </c>
      <c r="AC160">
        <v>4</v>
      </c>
      <c r="AD160">
        <v>6</v>
      </c>
      <c r="AE160">
        <v>8</v>
      </c>
      <c r="AF160">
        <v>3</v>
      </c>
      <c r="AG160">
        <v>7</v>
      </c>
      <c r="AH160">
        <f>COUNTA(OfficeForms.Table[[#This Row],[pnuw_walktrails]:[pnuw_restspots]])</f>
        <v>8</v>
      </c>
      <c r="AI160" s="4" t="s">
        <v>492</v>
      </c>
      <c r="AJ160" s="4" t="s">
        <v>72</v>
      </c>
      <c r="AK160" s="4" t="s">
        <v>60</v>
      </c>
      <c r="AL160" s="4"/>
      <c r="AM160" s="4"/>
      <c r="AN160" s="4"/>
      <c r="AO160" s="4"/>
      <c r="AP160" s="4"/>
      <c r="AQ160" s="4"/>
      <c r="AR160" s="4"/>
      <c r="AS160" s="4"/>
      <c r="AT160" s="4" t="s">
        <v>81</v>
      </c>
      <c r="AU160" s="4" t="s">
        <v>73</v>
      </c>
      <c r="AV160" s="4" t="s">
        <v>65</v>
      </c>
      <c r="AW160" s="4" t="s">
        <v>493</v>
      </c>
      <c r="AX160" s="4" t="s">
        <v>493</v>
      </c>
      <c r="AY160" s="5"/>
    </row>
    <row r="161" spans="1:51" hidden="1" x14ac:dyDescent="0.3">
      <c r="A161">
        <v>160</v>
      </c>
      <c r="B161" s="3">
        <v>45900.441273148099</v>
      </c>
      <c r="C161" s="3">
        <v>45900.442303240699</v>
      </c>
      <c r="D161" s="4" t="s">
        <v>49</v>
      </c>
      <c r="E161" s="4" t="s">
        <v>50</v>
      </c>
      <c r="F161" s="5" t="s">
        <v>494</v>
      </c>
      <c r="G161" s="4" t="s">
        <v>132</v>
      </c>
      <c r="H161" s="2">
        <v>45876</v>
      </c>
      <c r="I161" s="4" t="s">
        <v>53</v>
      </c>
      <c r="J161" s="4" t="s">
        <v>85</v>
      </c>
      <c r="K161" s="4" t="s">
        <v>215</v>
      </c>
      <c r="L161" s="4" t="s">
        <v>56</v>
      </c>
      <c r="M161">
        <v>11</v>
      </c>
      <c r="N161">
        <v>4</v>
      </c>
      <c r="O161">
        <v>3</v>
      </c>
      <c r="P161">
        <v>10</v>
      </c>
      <c r="Q161">
        <v>12</v>
      </c>
      <c r="R161">
        <v>5</v>
      </c>
      <c r="S161">
        <v>2</v>
      </c>
      <c r="T161">
        <v>8</v>
      </c>
      <c r="U161">
        <v>6</v>
      </c>
      <c r="V161">
        <v>7</v>
      </c>
      <c r="W161">
        <v>1</v>
      </c>
      <c r="X161">
        <v>9</v>
      </c>
      <c r="Y161">
        <f>COUNTA(OfficeForms.Table[[#This Row],[elements_shelters]:[elements_restspots]])</f>
        <v>12</v>
      </c>
      <c r="Z161">
        <v>2</v>
      </c>
      <c r="AA161">
        <v>3</v>
      </c>
      <c r="AB161">
        <v>4</v>
      </c>
      <c r="AC161">
        <v>5</v>
      </c>
      <c r="AD161">
        <v>7</v>
      </c>
      <c r="AE161">
        <v>8</v>
      </c>
      <c r="AF161">
        <v>1</v>
      </c>
      <c r="AG161">
        <v>6</v>
      </c>
      <c r="AH161">
        <f>COUNTA(OfficeForms.Table[[#This Row],[pnuw_walktrails]:[pnuw_restspots]])</f>
        <v>8</v>
      </c>
      <c r="AI161" s="4" t="s">
        <v>495</v>
      </c>
      <c r="AJ161" s="4" t="s">
        <v>72</v>
      </c>
      <c r="AK161" s="4" t="s">
        <v>60</v>
      </c>
      <c r="AL161" s="4"/>
      <c r="AM161" s="4"/>
      <c r="AN161" s="4"/>
      <c r="AO161" s="4"/>
      <c r="AP161" s="4"/>
      <c r="AQ161" s="4"/>
      <c r="AR161" s="4"/>
      <c r="AS161" s="4"/>
      <c r="AT161" s="4" t="s">
        <v>63</v>
      </c>
      <c r="AU161" s="4" t="s">
        <v>73</v>
      </c>
      <c r="AV161" s="4" t="s">
        <v>82</v>
      </c>
      <c r="AW161" s="4" t="s">
        <v>493</v>
      </c>
      <c r="AX161" s="4" t="s">
        <v>493</v>
      </c>
      <c r="AY161" s="5"/>
    </row>
    <row r="162" spans="1:51" hidden="1" x14ac:dyDescent="0.3">
      <c r="A162">
        <v>161</v>
      </c>
      <c r="B162" s="3">
        <v>45900.520046296297</v>
      </c>
      <c r="C162" s="3">
        <v>45900.520104166702</v>
      </c>
      <c r="D162" s="4" t="s">
        <v>49</v>
      </c>
      <c r="E162" s="4" t="s">
        <v>50</v>
      </c>
      <c r="F162" s="5" t="s">
        <v>496</v>
      </c>
      <c r="G162" s="4" t="s">
        <v>132</v>
      </c>
      <c r="H162" s="2">
        <v>45876</v>
      </c>
      <c r="I162" s="4" t="s">
        <v>53</v>
      </c>
      <c r="J162" s="4" t="s">
        <v>85</v>
      </c>
      <c r="K162" s="4" t="s">
        <v>215</v>
      </c>
      <c r="L162" s="4" t="s">
        <v>56</v>
      </c>
      <c r="M162">
        <v>9</v>
      </c>
      <c r="N162">
        <v>1</v>
      </c>
      <c r="O162">
        <v>2</v>
      </c>
      <c r="P162">
        <v>10</v>
      </c>
      <c r="Q162">
        <v>11</v>
      </c>
      <c r="R162">
        <v>5</v>
      </c>
      <c r="S162">
        <v>12</v>
      </c>
      <c r="T162">
        <v>7</v>
      </c>
      <c r="U162">
        <v>3</v>
      </c>
      <c r="V162">
        <v>8</v>
      </c>
      <c r="W162">
        <v>6</v>
      </c>
      <c r="X162">
        <v>4</v>
      </c>
      <c r="Y162">
        <f>COUNTA(OfficeForms.Table[[#This Row],[elements_shelters]:[elements_restspots]])</f>
        <v>12</v>
      </c>
      <c r="AH162">
        <f>COUNTA(OfficeForms.Table[[#This Row],[pnuw_walktrails]:[pnuw_restspots]])</f>
        <v>0</v>
      </c>
      <c r="AI162" s="4" t="s">
        <v>117</v>
      </c>
      <c r="AJ162" s="4" t="s">
        <v>72</v>
      </c>
      <c r="AK162" s="4" t="s">
        <v>60</v>
      </c>
      <c r="AL162" s="4"/>
      <c r="AM162" s="4"/>
      <c r="AN162" s="4"/>
      <c r="AO162" s="4"/>
      <c r="AP162" s="4"/>
      <c r="AQ162" s="4"/>
      <c r="AR162" s="4"/>
      <c r="AS162" s="4"/>
      <c r="AT162" s="4" t="s">
        <v>81</v>
      </c>
      <c r="AU162" s="4" t="s">
        <v>73</v>
      </c>
      <c r="AV162" s="4" t="s">
        <v>65</v>
      </c>
      <c r="AW162" s="4" t="s">
        <v>497</v>
      </c>
      <c r="AX162" s="4" t="s">
        <v>498</v>
      </c>
      <c r="AY162" s="5"/>
    </row>
    <row r="163" spans="1:51" hidden="1" x14ac:dyDescent="0.3">
      <c r="A163">
        <v>162</v>
      </c>
      <c r="B163" s="3">
        <v>45900.520127314798</v>
      </c>
      <c r="C163" s="3">
        <v>45900.5221296296</v>
      </c>
      <c r="D163" s="4" t="s">
        <v>49</v>
      </c>
      <c r="E163" s="4" t="s">
        <v>50</v>
      </c>
      <c r="F163" s="5" t="s">
        <v>499</v>
      </c>
      <c r="G163" s="4" t="s">
        <v>132</v>
      </c>
      <c r="H163" s="2">
        <v>45876</v>
      </c>
      <c r="I163" s="4" t="s">
        <v>53</v>
      </c>
      <c r="J163" s="4" t="s">
        <v>85</v>
      </c>
      <c r="K163" s="4" t="s">
        <v>55</v>
      </c>
      <c r="L163" s="4" t="s">
        <v>56</v>
      </c>
      <c r="M163">
        <v>10</v>
      </c>
      <c r="N163">
        <v>1</v>
      </c>
      <c r="O163">
        <v>3</v>
      </c>
      <c r="P163">
        <v>4</v>
      </c>
      <c r="Q163">
        <v>12</v>
      </c>
      <c r="R163">
        <v>7</v>
      </c>
      <c r="S163">
        <v>5</v>
      </c>
      <c r="T163">
        <v>6</v>
      </c>
      <c r="U163">
        <v>8</v>
      </c>
      <c r="V163">
        <v>11</v>
      </c>
      <c r="W163">
        <v>2</v>
      </c>
      <c r="X163">
        <v>9</v>
      </c>
      <c r="Y163">
        <f>COUNTA(OfficeForms.Table[[#This Row],[elements_shelters]:[elements_restspots]])</f>
        <v>12</v>
      </c>
      <c r="Z163">
        <v>1</v>
      </c>
      <c r="AA163">
        <v>2</v>
      </c>
      <c r="AB163">
        <v>6</v>
      </c>
      <c r="AC163">
        <v>8</v>
      </c>
      <c r="AD163">
        <v>3</v>
      </c>
      <c r="AE163">
        <v>7</v>
      </c>
      <c r="AF163">
        <v>4</v>
      </c>
      <c r="AG163">
        <v>5</v>
      </c>
      <c r="AH163">
        <f>COUNTA(OfficeForms.Table[[#This Row],[pnuw_walktrails]:[pnuw_restspots]])</f>
        <v>8</v>
      </c>
      <c r="AI163" s="4" t="s">
        <v>500</v>
      </c>
      <c r="AJ163" s="4" t="s">
        <v>88</v>
      </c>
      <c r="AK163" s="4" t="s">
        <v>60</v>
      </c>
      <c r="AL163" s="4"/>
      <c r="AM163" s="4"/>
      <c r="AN163" s="4"/>
      <c r="AO163" s="4"/>
      <c r="AP163" s="4"/>
      <c r="AQ163" s="4"/>
      <c r="AR163" s="4"/>
      <c r="AS163" s="4"/>
      <c r="AT163" s="4" t="s">
        <v>81</v>
      </c>
      <c r="AU163" s="4" t="s">
        <v>64</v>
      </c>
      <c r="AV163" s="4" t="s">
        <v>65</v>
      </c>
      <c r="AW163" s="4" t="s">
        <v>493</v>
      </c>
      <c r="AX163" s="4" t="s">
        <v>493</v>
      </c>
      <c r="AY163" s="5"/>
    </row>
    <row r="164" spans="1:51" hidden="1" x14ac:dyDescent="0.3">
      <c r="A164">
        <v>163</v>
      </c>
      <c r="B164" s="3">
        <v>45900.522233796299</v>
      </c>
      <c r="C164" s="3">
        <v>45900.523865740703</v>
      </c>
      <c r="D164" s="4" t="s">
        <v>49</v>
      </c>
      <c r="E164" s="4" t="s">
        <v>50</v>
      </c>
      <c r="F164" s="5" t="s">
        <v>501</v>
      </c>
      <c r="G164" s="4" t="s">
        <v>132</v>
      </c>
      <c r="H164" s="2">
        <v>45876</v>
      </c>
      <c r="I164" s="4" t="s">
        <v>53</v>
      </c>
      <c r="J164" s="4" t="s">
        <v>85</v>
      </c>
      <c r="K164" s="4" t="s">
        <v>78</v>
      </c>
      <c r="L164" s="4" t="s">
        <v>56</v>
      </c>
      <c r="M164">
        <v>1</v>
      </c>
      <c r="N164">
        <v>6</v>
      </c>
      <c r="O164">
        <v>4</v>
      </c>
      <c r="P164">
        <v>11</v>
      </c>
      <c r="Q164">
        <v>12</v>
      </c>
      <c r="R164">
        <v>2</v>
      </c>
      <c r="S164">
        <v>3</v>
      </c>
      <c r="T164">
        <v>10</v>
      </c>
      <c r="U164">
        <v>9</v>
      </c>
      <c r="V164">
        <v>7</v>
      </c>
      <c r="W164">
        <v>5</v>
      </c>
      <c r="X164">
        <v>8</v>
      </c>
      <c r="Y164">
        <f>COUNTA(OfficeForms.Table[[#This Row],[elements_shelters]:[elements_restspots]])</f>
        <v>12</v>
      </c>
      <c r="Z164">
        <v>6</v>
      </c>
      <c r="AA164">
        <v>5</v>
      </c>
      <c r="AB164">
        <v>8</v>
      </c>
      <c r="AC164">
        <v>1</v>
      </c>
      <c r="AD164">
        <v>4</v>
      </c>
      <c r="AE164">
        <v>7</v>
      </c>
      <c r="AF164">
        <v>2</v>
      </c>
      <c r="AG164">
        <v>3</v>
      </c>
      <c r="AH164">
        <f>COUNTA(OfficeForms.Table[[#This Row],[pnuw_walktrails]:[pnuw_restspots]])</f>
        <v>8</v>
      </c>
      <c r="AI164" s="4" t="s">
        <v>117</v>
      </c>
      <c r="AJ164" s="4" t="s">
        <v>88</v>
      </c>
      <c r="AK164" s="4" t="s">
        <v>59</v>
      </c>
      <c r="AL164" s="4" t="s">
        <v>59</v>
      </c>
      <c r="AM164" s="4" t="s">
        <v>343</v>
      </c>
      <c r="AN164" s="4" t="s">
        <v>61</v>
      </c>
      <c r="AO164" s="4"/>
      <c r="AP164" s="4" t="s">
        <v>59</v>
      </c>
      <c r="AQ164" s="4" t="s">
        <v>308</v>
      </c>
      <c r="AR164" s="4" t="s">
        <v>61</v>
      </c>
      <c r="AS164" s="4"/>
      <c r="AT164" s="4" t="s">
        <v>81</v>
      </c>
      <c r="AU164" s="4" t="s">
        <v>73</v>
      </c>
      <c r="AV164" s="4" t="s">
        <v>82</v>
      </c>
      <c r="AW164" s="4" t="s">
        <v>502</v>
      </c>
      <c r="AX164" s="4" t="s">
        <v>67</v>
      </c>
      <c r="AY164" s="5"/>
    </row>
    <row r="165" spans="1:51" hidden="1" x14ac:dyDescent="0.3">
      <c r="A165">
        <v>164</v>
      </c>
      <c r="B165" s="3">
        <v>45900.524027777799</v>
      </c>
      <c r="C165" s="3">
        <v>45900.525277777801</v>
      </c>
      <c r="D165" s="4" t="s">
        <v>49</v>
      </c>
      <c r="E165" s="4" t="s">
        <v>50</v>
      </c>
      <c r="F165" s="5" t="s">
        <v>503</v>
      </c>
      <c r="G165" s="4" t="s">
        <v>132</v>
      </c>
      <c r="H165" s="2">
        <v>45876</v>
      </c>
      <c r="I165" s="4" t="s">
        <v>53</v>
      </c>
      <c r="J165" s="4" t="s">
        <v>54</v>
      </c>
      <c r="K165" s="4" t="s">
        <v>55</v>
      </c>
      <c r="L165" s="4" t="s">
        <v>56</v>
      </c>
      <c r="M165">
        <v>11</v>
      </c>
      <c r="N165">
        <v>2</v>
      </c>
      <c r="O165">
        <v>4</v>
      </c>
      <c r="P165">
        <v>1</v>
      </c>
      <c r="Q165">
        <v>7</v>
      </c>
      <c r="R165">
        <v>5</v>
      </c>
      <c r="S165">
        <v>10</v>
      </c>
      <c r="T165">
        <v>8</v>
      </c>
      <c r="U165">
        <v>9</v>
      </c>
      <c r="V165">
        <v>12</v>
      </c>
      <c r="W165">
        <v>6</v>
      </c>
      <c r="X165">
        <v>3</v>
      </c>
      <c r="Y165">
        <f>COUNTA(OfficeForms.Table[[#This Row],[elements_shelters]:[elements_restspots]])</f>
        <v>12</v>
      </c>
      <c r="Z165">
        <v>5</v>
      </c>
      <c r="AA165">
        <v>3</v>
      </c>
      <c r="AB165">
        <v>1</v>
      </c>
      <c r="AC165">
        <v>2</v>
      </c>
      <c r="AD165">
        <v>8</v>
      </c>
      <c r="AE165">
        <v>7</v>
      </c>
      <c r="AF165">
        <v>6</v>
      </c>
      <c r="AG165">
        <v>4</v>
      </c>
      <c r="AH165">
        <f>COUNTA(OfficeForms.Table[[#This Row],[pnuw_walktrails]:[pnuw_restspots]])</f>
        <v>8</v>
      </c>
      <c r="AI165" s="4" t="s">
        <v>504</v>
      </c>
      <c r="AJ165" s="4" t="s">
        <v>88</v>
      </c>
      <c r="AK165" s="4" t="s">
        <v>59</v>
      </c>
      <c r="AL165" s="4" t="s">
        <v>60</v>
      </c>
      <c r="AM165" s="4"/>
      <c r="AN165" s="4" t="s">
        <v>111</v>
      </c>
      <c r="AO165" s="4"/>
      <c r="AP165" s="4" t="s">
        <v>59</v>
      </c>
      <c r="AQ165" s="4" t="s">
        <v>290</v>
      </c>
      <c r="AR165" s="4" t="s">
        <v>111</v>
      </c>
      <c r="AS165" s="4"/>
      <c r="AT165" s="4" t="s">
        <v>63</v>
      </c>
      <c r="AU165" s="4" t="s">
        <v>73</v>
      </c>
      <c r="AV165" s="4" t="s">
        <v>74</v>
      </c>
      <c r="AW165" s="4" t="s">
        <v>83</v>
      </c>
      <c r="AX165" s="4" t="s">
        <v>67</v>
      </c>
      <c r="AY165" s="5"/>
    </row>
    <row r="166" spans="1:51" hidden="1" x14ac:dyDescent="0.3">
      <c r="A166">
        <v>165</v>
      </c>
      <c r="B166" s="3">
        <v>45900.525312500002</v>
      </c>
      <c r="C166" s="3">
        <v>45900.527094907397</v>
      </c>
      <c r="D166" s="4" t="s">
        <v>49</v>
      </c>
      <c r="E166" s="4" t="s">
        <v>50</v>
      </c>
      <c r="F166" s="5" t="s">
        <v>505</v>
      </c>
      <c r="G166" s="4" t="s">
        <v>132</v>
      </c>
      <c r="H166" s="2">
        <v>45876</v>
      </c>
      <c r="I166" s="4" t="s">
        <v>53</v>
      </c>
      <c r="J166" s="4" t="s">
        <v>85</v>
      </c>
      <c r="K166" s="4" t="s">
        <v>78</v>
      </c>
      <c r="L166" s="4" t="s">
        <v>56</v>
      </c>
      <c r="M166">
        <v>11</v>
      </c>
      <c r="N166">
        <v>7</v>
      </c>
      <c r="O166">
        <v>6</v>
      </c>
      <c r="P166">
        <v>5</v>
      </c>
      <c r="Q166">
        <v>12</v>
      </c>
      <c r="R166">
        <v>4</v>
      </c>
      <c r="S166">
        <v>1</v>
      </c>
      <c r="T166">
        <v>10</v>
      </c>
      <c r="U166">
        <v>2</v>
      </c>
      <c r="V166">
        <v>9</v>
      </c>
      <c r="W166">
        <v>8</v>
      </c>
      <c r="X166">
        <v>3</v>
      </c>
      <c r="Y166">
        <f>COUNTA(OfficeForms.Table[[#This Row],[elements_shelters]:[elements_restspots]])</f>
        <v>12</v>
      </c>
      <c r="Z166">
        <v>3</v>
      </c>
      <c r="AA166">
        <v>4</v>
      </c>
      <c r="AB166">
        <v>2</v>
      </c>
      <c r="AC166">
        <v>1</v>
      </c>
      <c r="AD166">
        <v>5</v>
      </c>
      <c r="AE166">
        <v>6</v>
      </c>
      <c r="AF166">
        <v>7</v>
      </c>
      <c r="AG166">
        <v>8</v>
      </c>
      <c r="AH166">
        <f>COUNTA(OfficeForms.Table[[#This Row],[pnuw_walktrails]:[pnuw_restspots]])</f>
        <v>8</v>
      </c>
      <c r="AI166" s="4" t="s">
        <v>506</v>
      </c>
      <c r="AJ166" s="4" t="s">
        <v>72</v>
      </c>
      <c r="AK166" s="4" t="s">
        <v>59</v>
      </c>
      <c r="AL166" s="4" t="s">
        <v>59</v>
      </c>
      <c r="AM166" s="4" t="s">
        <v>507</v>
      </c>
      <c r="AN166" s="4" t="s">
        <v>61</v>
      </c>
      <c r="AO166" s="4"/>
      <c r="AP166" s="4" t="s">
        <v>60</v>
      </c>
      <c r="AQ166" s="4"/>
      <c r="AR166" s="4" t="s">
        <v>61</v>
      </c>
      <c r="AS166" s="4"/>
      <c r="AT166" s="4" t="s">
        <v>81</v>
      </c>
      <c r="AU166" s="4" t="s">
        <v>64</v>
      </c>
      <c r="AV166" s="4" t="s">
        <v>82</v>
      </c>
      <c r="AW166" s="4" t="s">
        <v>394</v>
      </c>
      <c r="AX166" s="4" t="s">
        <v>394</v>
      </c>
      <c r="AY166" s="5"/>
    </row>
    <row r="167" spans="1:51" hidden="1" x14ac:dyDescent="0.3">
      <c r="A167">
        <v>166</v>
      </c>
      <c r="B167" s="3">
        <v>45900.527199074102</v>
      </c>
      <c r="C167" s="3">
        <v>45900.528333333299</v>
      </c>
      <c r="D167" s="4" t="s">
        <v>49</v>
      </c>
      <c r="E167" s="4" t="s">
        <v>50</v>
      </c>
      <c r="F167" s="5" t="s">
        <v>508</v>
      </c>
      <c r="G167" s="4" t="s">
        <v>132</v>
      </c>
      <c r="H167" s="2">
        <v>45877</v>
      </c>
      <c r="I167" s="4" t="s">
        <v>53</v>
      </c>
      <c r="J167" s="4" t="s">
        <v>69</v>
      </c>
      <c r="K167" s="4" t="s">
        <v>78</v>
      </c>
      <c r="L167" s="4" t="s">
        <v>56</v>
      </c>
      <c r="M167">
        <v>11</v>
      </c>
      <c r="N167">
        <v>2</v>
      </c>
      <c r="O167">
        <v>5</v>
      </c>
      <c r="P167">
        <v>7</v>
      </c>
      <c r="Q167">
        <v>12</v>
      </c>
      <c r="R167">
        <v>1</v>
      </c>
      <c r="S167">
        <v>4</v>
      </c>
      <c r="T167">
        <v>9</v>
      </c>
      <c r="U167">
        <v>6</v>
      </c>
      <c r="V167">
        <v>10</v>
      </c>
      <c r="W167">
        <v>8</v>
      </c>
      <c r="X167">
        <v>3</v>
      </c>
      <c r="Y167">
        <f>COUNTA(OfficeForms.Table[[#This Row],[elements_shelters]:[elements_restspots]])</f>
        <v>12</v>
      </c>
      <c r="Z167">
        <v>1</v>
      </c>
      <c r="AA167">
        <v>5</v>
      </c>
      <c r="AB167">
        <v>6</v>
      </c>
      <c r="AC167">
        <v>2</v>
      </c>
      <c r="AD167">
        <v>4</v>
      </c>
      <c r="AE167">
        <v>8</v>
      </c>
      <c r="AF167">
        <v>7</v>
      </c>
      <c r="AG167">
        <v>3</v>
      </c>
      <c r="AH167">
        <f>COUNTA(OfficeForms.Table[[#This Row],[pnuw_walktrails]:[pnuw_restspots]])</f>
        <v>8</v>
      </c>
      <c r="AI167" s="4" t="s">
        <v>117</v>
      </c>
      <c r="AJ167" s="4" t="s">
        <v>88</v>
      </c>
      <c r="AK167" s="4" t="s">
        <v>59</v>
      </c>
      <c r="AL167" s="4" t="s">
        <v>60</v>
      </c>
      <c r="AM167" s="4"/>
      <c r="AN167" s="4" t="s">
        <v>111</v>
      </c>
      <c r="AO167" s="4"/>
      <c r="AP167" s="4" t="s">
        <v>59</v>
      </c>
      <c r="AQ167" s="4" t="s">
        <v>466</v>
      </c>
      <c r="AR167" s="4" t="s">
        <v>111</v>
      </c>
      <c r="AS167" s="4"/>
      <c r="AT167" s="4" t="s">
        <v>81</v>
      </c>
      <c r="AU167" s="4" t="s">
        <v>73</v>
      </c>
      <c r="AV167" s="4" t="s">
        <v>74</v>
      </c>
      <c r="AW167" s="4" t="s">
        <v>212</v>
      </c>
      <c r="AX167" s="4" t="s">
        <v>212</v>
      </c>
      <c r="AY167" s="5"/>
    </row>
    <row r="168" spans="1:51" hidden="1" x14ac:dyDescent="0.3">
      <c r="A168">
        <v>167</v>
      </c>
      <c r="B168" s="3">
        <v>45900.604120370401</v>
      </c>
      <c r="C168" s="3">
        <v>45900.604178240697</v>
      </c>
      <c r="D168" s="4" t="s">
        <v>49</v>
      </c>
      <c r="E168" s="4" t="s">
        <v>50</v>
      </c>
      <c r="F168" s="5" t="s">
        <v>509</v>
      </c>
      <c r="G168" s="4" t="s">
        <v>132</v>
      </c>
      <c r="H168" s="2">
        <v>45877</v>
      </c>
      <c r="I168" s="4" t="s">
        <v>53</v>
      </c>
      <c r="J168" s="4" t="s">
        <v>69</v>
      </c>
      <c r="K168" s="4" t="s">
        <v>78</v>
      </c>
      <c r="L168" s="4" t="s">
        <v>56</v>
      </c>
      <c r="M168">
        <v>9</v>
      </c>
      <c r="N168">
        <v>7</v>
      </c>
      <c r="O168">
        <v>6</v>
      </c>
      <c r="P168">
        <v>3</v>
      </c>
      <c r="Q168">
        <v>4</v>
      </c>
      <c r="R168">
        <v>5</v>
      </c>
      <c r="S168">
        <v>11</v>
      </c>
      <c r="T168">
        <v>8</v>
      </c>
      <c r="U168">
        <v>10</v>
      </c>
      <c r="V168">
        <v>12</v>
      </c>
      <c r="W168">
        <v>1</v>
      </c>
      <c r="X168">
        <v>2</v>
      </c>
      <c r="Y168">
        <f>COUNTA(OfficeForms.Table[[#This Row],[elements_shelters]:[elements_restspots]])</f>
        <v>12</v>
      </c>
      <c r="Z168">
        <v>1</v>
      </c>
      <c r="AA168">
        <v>2</v>
      </c>
      <c r="AB168">
        <v>6</v>
      </c>
      <c r="AC168">
        <v>3</v>
      </c>
      <c r="AD168">
        <v>7</v>
      </c>
      <c r="AE168">
        <v>8</v>
      </c>
      <c r="AF168">
        <v>4</v>
      </c>
      <c r="AG168">
        <v>5</v>
      </c>
      <c r="AH168">
        <f>COUNTA(OfficeForms.Table[[#This Row],[pnuw_walktrails]:[pnuw_restspots]])</f>
        <v>8</v>
      </c>
      <c r="AI168" s="4" t="s">
        <v>510</v>
      </c>
      <c r="AJ168" s="4" t="s">
        <v>88</v>
      </c>
      <c r="AK168" s="4" t="s">
        <v>60</v>
      </c>
      <c r="AL168" s="4"/>
      <c r="AM168" s="4"/>
      <c r="AN168" s="4"/>
      <c r="AO168" s="4"/>
      <c r="AP168" s="4"/>
      <c r="AQ168" s="4"/>
      <c r="AR168" s="4"/>
      <c r="AS168" s="4"/>
      <c r="AT168" s="4" t="s">
        <v>81</v>
      </c>
      <c r="AU168" s="4" t="s">
        <v>73</v>
      </c>
      <c r="AV168" s="4" t="s">
        <v>65</v>
      </c>
      <c r="AW168" s="4" t="s">
        <v>511</v>
      </c>
      <c r="AX168" s="4" t="s">
        <v>511</v>
      </c>
      <c r="AY168" s="5"/>
    </row>
    <row r="169" spans="1:51" hidden="1" x14ac:dyDescent="0.3">
      <c r="A169">
        <v>168</v>
      </c>
      <c r="B169" s="3">
        <v>45900.604270833297</v>
      </c>
      <c r="C169" s="3">
        <v>45900.605358796303</v>
      </c>
      <c r="D169" s="4" t="s">
        <v>49</v>
      </c>
      <c r="E169" s="4" t="s">
        <v>50</v>
      </c>
      <c r="F169" s="5" t="s">
        <v>512</v>
      </c>
      <c r="G169" s="4" t="s">
        <v>132</v>
      </c>
      <c r="H169" s="2">
        <v>45877</v>
      </c>
      <c r="I169" s="4" t="s">
        <v>53</v>
      </c>
      <c r="J169" s="4" t="s">
        <v>54</v>
      </c>
      <c r="K169" s="4" t="s">
        <v>55</v>
      </c>
      <c r="L169" s="4" t="s">
        <v>56</v>
      </c>
      <c r="M169">
        <v>9</v>
      </c>
      <c r="N169">
        <v>1</v>
      </c>
      <c r="O169">
        <v>8</v>
      </c>
      <c r="P169">
        <v>2</v>
      </c>
      <c r="Q169">
        <v>12</v>
      </c>
      <c r="R169">
        <v>4</v>
      </c>
      <c r="S169">
        <v>10</v>
      </c>
      <c r="T169">
        <v>6</v>
      </c>
      <c r="U169">
        <v>5</v>
      </c>
      <c r="V169">
        <v>11</v>
      </c>
      <c r="W169">
        <v>7</v>
      </c>
      <c r="X169">
        <v>3</v>
      </c>
      <c r="Y169">
        <f>COUNTA(OfficeForms.Table[[#This Row],[elements_shelters]:[elements_restspots]])</f>
        <v>12</v>
      </c>
      <c r="Z169">
        <v>1</v>
      </c>
      <c r="AA169">
        <v>4</v>
      </c>
      <c r="AB169">
        <v>3</v>
      </c>
      <c r="AC169">
        <v>6</v>
      </c>
      <c r="AD169">
        <v>7</v>
      </c>
      <c r="AE169">
        <v>8</v>
      </c>
      <c r="AF169">
        <v>2</v>
      </c>
      <c r="AG169">
        <v>5</v>
      </c>
      <c r="AH169">
        <f>COUNTA(OfficeForms.Table[[#This Row],[pnuw_walktrails]:[pnuw_restspots]])</f>
        <v>8</v>
      </c>
      <c r="AI169" s="4" t="s">
        <v>249</v>
      </c>
      <c r="AJ169" s="4" t="s">
        <v>88</v>
      </c>
      <c r="AK169" s="4" t="s">
        <v>60</v>
      </c>
      <c r="AL169" s="4"/>
      <c r="AM169" s="4"/>
      <c r="AN169" s="4"/>
      <c r="AO169" s="4"/>
      <c r="AP169" s="4"/>
      <c r="AQ169" s="4"/>
      <c r="AR169" s="4"/>
      <c r="AS169" s="4"/>
      <c r="AT169" s="4" t="s">
        <v>63</v>
      </c>
      <c r="AU169" s="4" t="s">
        <v>64</v>
      </c>
      <c r="AV169" s="4" t="s">
        <v>65</v>
      </c>
      <c r="AW169" s="4" t="s">
        <v>513</v>
      </c>
      <c r="AX169" s="4" t="s">
        <v>67</v>
      </c>
      <c r="AY169" s="5"/>
    </row>
    <row r="170" spans="1:51" hidden="1" x14ac:dyDescent="0.3">
      <c r="A170">
        <v>169</v>
      </c>
      <c r="B170" s="3">
        <v>45900.605509259301</v>
      </c>
      <c r="C170" s="3">
        <v>45900.606689814798</v>
      </c>
      <c r="D170" s="4" t="s">
        <v>49</v>
      </c>
      <c r="E170" s="4" t="s">
        <v>50</v>
      </c>
      <c r="F170" s="5" t="s">
        <v>514</v>
      </c>
      <c r="G170" s="4" t="s">
        <v>132</v>
      </c>
      <c r="H170" s="2">
        <v>45877</v>
      </c>
      <c r="I170" s="4" t="s">
        <v>53</v>
      </c>
      <c r="J170" s="4" t="s">
        <v>54</v>
      </c>
      <c r="K170" s="4" t="s">
        <v>78</v>
      </c>
      <c r="L170" s="4" t="s">
        <v>86</v>
      </c>
      <c r="M170">
        <v>9</v>
      </c>
      <c r="N170">
        <v>7</v>
      </c>
      <c r="O170">
        <v>8</v>
      </c>
      <c r="P170">
        <v>1</v>
      </c>
      <c r="Q170">
        <v>12</v>
      </c>
      <c r="R170">
        <v>4</v>
      </c>
      <c r="S170">
        <v>11</v>
      </c>
      <c r="T170">
        <v>3</v>
      </c>
      <c r="U170">
        <v>2</v>
      </c>
      <c r="V170">
        <v>10</v>
      </c>
      <c r="W170">
        <v>6</v>
      </c>
      <c r="X170">
        <v>4</v>
      </c>
      <c r="Y170">
        <f>COUNTA(OfficeForms.Table[[#This Row],[elements_shelters]:[elements_restspots]])</f>
        <v>12</v>
      </c>
      <c r="Z170">
        <v>3</v>
      </c>
      <c r="AA170">
        <v>2</v>
      </c>
      <c r="AB170">
        <v>4</v>
      </c>
      <c r="AC170">
        <v>5</v>
      </c>
      <c r="AD170">
        <v>7</v>
      </c>
      <c r="AE170">
        <v>8</v>
      </c>
      <c r="AF170">
        <v>1</v>
      </c>
      <c r="AG170">
        <v>6</v>
      </c>
      <c r="AH170">
        <f>COUNTA(OfficeForms.Table[[#This Row],[pnuw_walktrails]:[pnuw_restspots]])</f>
        <v>8</v>
      </c>
      <c r="AI170" s="4" t="s">
        <v>249</v>
      </c>
      <c r="AJ170" s="4" t="s">
        <v>80</v>
      </c>
      <c r="AK170" s="4" t="s">
        <v>60</v>
      </c>
      <c r="AL170" s="4"/>
      <c r="AM170" s="4"/>
      <c r="AN170" s="4"/>
      <c r="AO170" s="4"/>
      <c r="AP170" s="4"/>
      <c r="AQ170" s="4"/>
      <c r="AR170" s="4"/>
      <c r="AS170" s="4"/>
      <c r="AT170" s="4" t="s">
        <v>63</v>
      </c>
      <c r="AU170" s="4" t="s">
        <v>73</v>
      </c>
      <c r="AV170" s="4" t="s">
        <v>82</v>
      </c>
      <c r="AW170" s="4" t="s">
        <v>513</v>
      </c>
      <c r="AX170" s="4" t="s">
        <v>67</v>
      </c>
      <c r="AY170" s="5"/>
    </row>
    <row r="171" spans="1:51" hidden="1" x14ac:dyDescent="0.3">
      <c r="A171">
        <v>170</v>
      </c>
      <c r="B171" s="3">
        <v>45900.606782407398</v>
      </c>
      <c r="C171" s="3">
        <v>45900.609166666698</v>
      </c>
      <c r="D171" s="4" t="s">
        <v>49</v>
      </c>
      <c r="E171" s="4" t="s">
        <v>50</v>
      </c>
      <c r="F171" s="5" t="s">
        <v>515</v>
      </c>
      <c r="G171" s="4" t="s">
        <v>132</v>
      </c>
      <c r="H171" s="2">
        <v>45877</v>
      </c>
      <c r="I171" s="4" t="s">
        <v>53</v>
      </c>
      <c r="J171" s="4" t="s">
        <v>69</v>
      </c>
      <c r="K171" s="4" t="s">
        <v>55</v>
      </c>
      <c r="L171" s="4" t="s">
        <v>86</v>
      </c>
      <c r="M171">
        <v>12</v>
      </c>
      <c r="N171">
        <v>1</v>
      </c>
      <c r="O171">
        <v>2</v>
      </c>
      <c r="P171">
        <v>5</v>
      </c>
      <c r="Q171">
        <v>6</v>
      </c>
      <c r="R171">
        <v>7</v>
      </c>
      <c r="S171">
        <v>3</v>
      </c>
      <c r="T171">
        <v>9</v>
      </c>
      <c r="U171">
        <v>8</v>
      </c>
      <c r="V171">
        <v>10</v>
      </c>
      <c r="W171">
        <v>4</v>
      </c>
      <c r="X171">
        <v>11</v>
      </c>
      <c r="Y171">
        <f>COUNTA(OfficeForms.Table[[#This Row],[elements_shelters]:[elements_restspots]])</f>
        <v>12</v>
      </c>
      <c r="Z171">
        <v>3</v>
      </c>
      <c r="AA171">
        <v>4</v>
      </c>
      <c r="AB171">
        <v>5</v>
      </c>
      <c r="AC171">
        <v>1</v>
      </c>
      <c r="AD171">
        <v>2</v>
      </c>
      <c r="AE171">
        <v>6</v>
      </c>
      <c r="AF171">
        <v>8</v>
      </c>
      <c r="AG171">
        <v>7</v>
      </c>
      <c r="AH171">
        <f>COUNTA(OfficeForms.Table[[#This Row],[pnuw_walktrails]:[pnuw_restspots]])</f>
        <v>8</v>
      </c>
      <c r="AI171" s="4" t="s">
        <v>516</v>
      </c>
      <c r="AJ171" s="4" t="s">
        <v>72</v>
      </c>
      <c r="AK171" s="4" t="s">
        <v>59</v>
      </c>
      <c r="AL171" s="4" t="s">
        <v>60</v>
      </c>
      <c r="AM171" s="4"/>
      <c r="AN171" s="4" t="s">
        <v>61</v>
      </c>
      <c r="AO171" s="4"/>
      <c r="AP171" s="4" t="s">
        <v>59</v>
      </c>
      <c r="AQ171" s="4" t="s">
        <v>290</v>
      </c>
      <c r="AR171" s="4" t="s">
        <v>61</v>
      </c>
      <c r="AS171" s="4"/>
      <c r="AT171" s="4" t="s">
        <v>81</v>
      </c>
      <c r="AU171" s="4" t="s">
        <v>73</v>
      </c>
      <c r="AV171" s="4" t="s">
        <v>82</v>
      </c>
      <c r="AW171" s="4" t="s">
        <v>517</v>
      </c>
      <c r="AX171" s="4" t="s">
        <v>518</v>
      </c>
      <c r="AY171" s="5"/>
    </row>
    <row r="172" spans="1:51" hidden="1" x14ac:dyDescent="0.3">
      <c r="A172">
        <v>171</v>
      </c>
      <c r="B172" s="3">
        <v>45900.609293981499</v>
      </c>
      <c r="C172" s="3">
        <v>45900.610868055599</v>
      </c>
      <c r="D172" s="4" t="s">
        <v>49</v>
      </c>
      <c r="E172" s="4" t="s">
        <v>50</v>
      </c>
      <c r="F172" s="5" t="s">
        <v>519</v>
      </c>
      <c r="G172" s="4" t="s">
        <v>132</v>
      </c>
      <c r="H172" s="2">
        <v>45877</v>
      </c>
      <c r="I172" s="4" t="s">
        <v>53</v>
      </c>
      <c r="J172" s="4" t="s">
        <v>69</v>
      </c>
      <c r="K172" s="4" t="s">
        <v>55</v>
      </c>
      <c r="L172" s="4" t="s">
        <v>56</v>
      </c>
      <c r="M172">
        <v>8</v>
      </c>
      <c r="N172">
        <v>5</v>
      </c>
      <c r="O172">
        <v>6</v>
      </c>
      <c r="P172">
        <v>7</v>
      </c>
      <c r="Q172">
        <v>9</v>
      </c>
      <c r="R172">
        <v>1</v>
      </c>
      <c r="S172">
        <v>3</v>
      </c>
      <c r="T172">
        <v>10</v>
      </c>
      <c r="U172">
        <v>11</v>
      </c>
      <c r="V172">
        <v>12</v>
      </c>
      <c r="W172">
        <v>2</v>
      </c>
      <c r="X172">
        <v>4</v>
      </c>
      <c r="Y172">
        <f>COUNTA(OfficeForms.Table[[#This Row],[elements_shelters]:[elements_restspots]])</f>
        <v>12</v>
      </c>
      <c r="Z172">
        <v>2</v>
      </c>
      <c r="AA172">
        <v>1</v>
      </c>
      <c r="AB172">
        <v>3</v>
      </c>
      <c r="AC172">
        <v>4</v>
      </c>
      <c r="AD172">
        <v>6</v>
      </c>
      <c r="AE172">
        <v>7</v>
      </c>
      <c r="AF172">
        <v>8</v>
      </c>
      <c r="AG172">
        <v>5</v>
      </c>
      <c r="AH172">
        <f>COUNTA(OfficeForms.Table[[#This Row],[pnuw_walktrails]:[pnuw_restspots]])</f>
        <v>8</v>
      </c>
      <c r="AI172" s="4" t="s">
        <v>520</v>
      </c>
      <c r="AJ172" s="4" t="s">
        <v>80</v>
      </c>
      <c r="AK172" s="4" t="s">
        <v>59</v>
      </c>
      <c r="AL172" s="4" t="s">
        <v>60</v>
      </c>
      <c r="AM172" s="4"/>
      <c r="AN172" s="4" t="s">
        <v>111</v>
      </c>
      <c r="AO172" s="4"/>
      <c r="AP172" s="4" t="s">
        <v>59</v>
      </c>
      <c r="AQ172" s="4" t="s">
        <v>251</v>
      </c>
      <c r="AR172" s="4" t="s">
        <v>111</v>
      </c>
      <c r="AS172" s="4"/>
      <c r="AT172" s="4" t="s">
        <v>63</v>
      </c>
      <c r="AU172" s="4" t="s">
        <v>73</v>
      </c>
      <c r="AV172" s="4" t="s">
        <v>82</v>
      </c>
      <c r="AW172" s="4" t="s">
        <v>517</v>
      </c>
      <c r="AX172" s="4" t="s">
        <v>518</v>
      </c>
      <c r="AY172" s="5"/>
    </row>
    <row r="173" spans="1:51" hidden="1" x14ac:dyDescent="0.3">
      <c r="A173">
        <v>172</v>
      </c>
      <c r="B173" s="3">
        <v>45900.610914351899</v>
      </c>
      <c r="C173" s="3">
        <v>45900.612384259301</v>
      </c>
      <c r="D173" s="4" t="s">
        <v>49</v>
      </c>
      <c r="E173" s="4" t="s">
        <v>50</v>
      </c>
      <c r="F173" s="5" t="s">
        <v>521</v>
      </c>
      <c r="G173" s="4" t="s">
        <v>132</v>
      </c>
      <c r="H173" s="2">
        <v>45877</v>
      </c>
      <c r="I173" s="4" t="s">
        <v>53</v>
      </c>
      <c r="J173" s="4" t="s">
        <v>85</v>
      </c>
      <c r="K173" s="4" t="s">
        <v>78</v>
      </c>
      <c r="L173" s="4" t="s">
        <v>86</v>
      </c>
      <c r="M173">
        <v>10</v>
      </c>
      <c r="N173">
        <v>1</v>
      </c>
      <c r="O173">
        <v>9</v>
      </c>
      <c r="P173">
        <v>2</v>
      </c>
      <c r="Q173">
        <v>12</v>
      </c>
      <c r="R173">
        <v>7</v>
      </c>
      <c r="S173">
        <v>8</v>
      </c>
      <c r="T173">
        <v>6</v>
      </c>
      <c r="U173">
        <v>4</v>
      </c>
      <c r="V173">
        <v>11</v>
      </c>
      <c r="W173">
        <v>3</v>
      </c>
      <c r="X173">
        <v>5</v>
      </c>
      <c r="Y173">
        <f>COUNTA(OfficeForms.Table[[#This Row],[elements_shelters]:[elements_restspots]])</f>
        <v>12</v>
      </c>
      <c r="Z173">
        <v>1</v>
      </c>
      <c r="AA173">
        <v>2</v>
      </c>
      <c r="AB173">
        <v>3</v>
      </c>
      <c r="AC173">
        <v>7</v>
      </c>
      <c r="AD173">
        <v>8</v>
      </c>
      <c r="AE173">
        <v>5</v>
      </c>
      <c r="AF173">
        <v>4</v>
      </c>
      <c r="AG173">
        <v>6</v>
      </c>
      <c r="AH173">
        <f>COUNTA(OfficeForms.Table[[#This Row],[pnuw_walktrails]:[pnuw_restspots]])</f>
        <v>8</v>
      </c>
      <c r="AI173" s="4" t="s">
        <v>522</v>
      </c>
      <c r="AJ173" s="4" t="s">
        <v>88</v>
      </c>
      <c r="AK173" s="4" t="s">
        <v>59</v>
      </c>
      <c r="AL173" s="4" t="s">
        <v>59</v>
      </c>
      <c r="AM173" s="4" t="s">
        <v>523</v>
      </c>
      <c r="AN173" s="4" t="s">
        <v>61</v>
      </c>
      <c r="AO173" s="4"/>
      <c r="AP173" s="4" t="s">
        <v>59</v>
      </c>
      <c r="AQ173" s="4" t="s">
        <v>263</v>
      </c>
      <c r="AR173" s="4" t="s">
        <v>61</v>
      </c>
      <c r="AS173" s="4"/>
      <c r="AT173" s="4" t="s">
        <v>63</v>
      </c>
      <c r="AU173" s="4" t="s">
        <v>64</v>
      </c>
      <c r="AV173" s="4" t="s">
        <v>125</v>
      </c>
      <c r="AW173" s="4" t="s">
        <v>524</v>
      </c>
      <c r="AX173" s="4" t="s">
        <v>525</v>
      </c>
      <c r="AY173" s="5"/>
    </row>
    <row r="174" spans="1:51" hidden="1" x14ac:dyDescent="0.3">
      <c r="A174">
        <v>173</v>
      </c>
      <c r="B174" s="3">
        <v>45900.612395833297</v>
      </c>
      <c r="C174" s="3">
        <v>45900.613587963002</v>
      </c>
      <c r="D174" s="4" t="s">
        <v>49</v>
      </c>
      <c r="E174" s="4" t="s">
        <v>50</v>
      </c>
      <c r="F174" s="5" t="s">
        <v>526</v>
      </c>
      <c r="G174" s="4" t="s">
        <v>132</v>
      </c>
      <c r="H174" s="2">
        <v>45877</v>
      </c>
      <c r="I174" s="4" t="s">
        <v>53</v>
      </c>
      <c r="J174" s="4" t="s">
        <v>85</v>
      </c>
      <c r="K174" s="4" t="s">
        <v>215</v>
      </c>
      <c r="L174" s="4" t="s">
        <v>56</v>
      </c>
      <c r="M174">
        <v>12</v>
      </c>
      <c r="N174">
        <v>2</v>
      </c>
      <c r="O174">
        <v>3</v>
      </c>
      <c r="P174">
        <v>1</v>
      </c>
      <c r="Q174">
        <v>9</v>
      </c>
      <c r="R174">
        <v>6</v>
      </c>
      <c r="S174">
        <v>7</v>
      </c>
      <c r="T174">
        <v>10</v>
      </c>
      <c r="U174">
        <v>8</v>
      </c>
      <c r="V174">
        <v>11</v>
      </c>
      <c r="W174">
        <v>4</v>
      </c>
      <c r="X174">
        <v>5</v>
      </c>
      <c r="Y174">
        <f>COUNTA(OfficeForms.Table[[#This Row],[elements_shelters]:[elements_restspots]])</f>
        <v>12</v>
      </c>
      <c r="Z174">
        <v>5</v>
      </c>
      <c r="AA174">
        <v>7</v>
      </c>
      <c r="AB174">
        <v>1</v>
      </c>
      <c r="AC174">
        <v>2</v>
      </c>
      <c r="AD174">
        <v>6</v>
      </c>
      <c r="AE174">
        <v>8</v>
      </c>
      <c r="AF174">
        <v>4</v>
      </c>
      <c r="AG174">
        <v>3</v>
      </c>
      <c r="AH174">
        <f>COUNTA(OfficeForms.Table[[#This Row],[pnuw_walktrails]:[pnuw_restspots]])</f>
        <v>8</v>
      </c>
      <c r="AI174" s="4" t="s">
        <v>123</v>
      </c>
      <c r="AJ174" s="4" t="s">
        <v>88</v>
      </c>
      <c r="AK174" s="4" t="s">
        <v>59</v>
      </c>
      <c r="AL174" s="4" t="s">
        <v>60</v>
      </c>
      <c r="AM174" s="4"/>
      <c r="AN174" s="4" t="s">
        <v>61</v>
      </c>
      <c r="AO174" s="4"/>
      <c r="AP174" s="4" t="s">
        <v>59</v>
      </c>
      <c r="AQ174" s="4" t="s">
        <v>269</v>
      </c>
      <c r="AR174" s="4" t="s">
        <v>61</v>
      </c>
      <c r="AS174" s="4"/>
      <c r="AT174" s="4" t="s">
        <v>81</v>
      </c>
      <c r="AU174" s="4" t="s">
        <v>64</v>
      </c>
      <c r="AV174" s="4" t="s">
        <v>74</v>
      </c>
      <c r="AW174" s="4" t="s">
        <v>524</v>
      </c>
      <c r="AX174" s="4" t="s">
        <v>525</v>
      </c>
      <c r="AY174" s="5"/>
    </row>
    <row r="175" spans="1:51" hidden="1" x14ac:dyDescent="0.3">
      <c r="A175">
        <v>174</v>
      </c>
      <c r="B175" s="3">
        <v>45900.613703703697</v>
      </c>
      <c r="C175" s="3">
        <v>45900.6150694444</v>
      </c>
      <c r="D175" s="4" t="s">
        <v>49</v>
      </c>
      <c r="E175" s="4" t="s">
        <v>50</v>
      </c>
      <c r="F175" s="5" t="s">
        <v>527</v>
      </c>
      <c r="G175" s="4" t="s">
        <v>132</v>
      </c>
      <c r="H175" s="2">
        <v>45878</v>
      </c>
      <c r="I175" s="4" t="s">
        <v>53</v>
      </c>
      <c r="J175" s="4" t="s">
        <v>85</v>
      </c>
      <c r="K175" s="4" t="s">
        <v>55</v>
      </c>
      <c r="L175" s="4" t="s">
        <v>56</v>
      </c>
      <c r="M175">
        <v>12</v>
      </c>
      <c r="N175">
        <v>10</v>
      </c>
      <c r="O175">
        <v>6</v>
      </c>
      <c r="P175">
        <v>2</v>
      </c>
      <c r="Q175">
        <v>11</v>
      </c>
      <c r="R175">
        <v>3</v>
      </c>
      <c r="S175">
        <v>8</v>
      </c>
      <c r="T175">
        <v>9</v>
      </c>
      <c r="U175">
        <v>4</v>
      </c>
      <c r="V175">
        <v>5</v>
      </c>
      <c r="W175">
        <v>7</v>
      </c>
      <c r="X175">
        <v>1</v>
      </c>
      <c r="Y175">
        <f>COUNTA(OfficeForms.Table[[#This Row],[elements_shelters]:[elements_restspots]])</f>
        <v>12</v>
      </c>
      <c r="Z175">
        <v>8</v>
      </c>
      <c r="AA175">
        <v>4</v>
      </c>
      <c r="AB175">
        <v>3</v>
      </c>
      <c r="AC175">
        <v>5</v>
      </c>
      <c r="AD175">
        <v>6</v>
      </c>
      <c r="AE175">
        <v>7</v>
      </c>
      <c r="AF175">
        <v>1</v>
      </c>
      <c r="AG175">
        <v>2</v>
      </c>
      <c r="AH175">
        <f>COUNTA(OfficeForms.Table[[#This Row],[pnuw_walktrails]:[pnuw_restspots]])</f>
        <v>8</v>
      </c>
      <c r="AI175" s="4" t="s">
        <v>528</v>
      </c>
      <c r="AJ175" s="4" t="s">
        <v>88</v>
      </c>
      <c r="AK175" s="4" t="s">
        <v>60</v>
      </c>
      <c r="AL175" s="4"/>
      <c r="AM175" s="4"/>
      <c r="AN175" s="4"/>
      <c r="AO175" s="4"/>
      <c r="AP175" s="4"/>
      <c r="AQ175" s="4"/>
      <c r="AR175" s="4"/>
      <c r="AS175" s="4"/>
      <c r="AT175" s="4" t="s">
        <v>63</v>
      </c>
      <c r="AU175" s="4" t="s">
        <v>73</v>
      </c>
      <c r="AV175" s="4" t="s">
        <v>125</v>
      </c>
      <c r="AW175" s="4" t="s">
        <v>441</v>
      </c>
      <c r="AX175" s="4" t="s">
        <v>441</v>
      </c>
      <c r="AY175" s="5"/>
    </row>
    <row r="176" spans="1:51" hidden="1" x14ac:dyDescent="0.3">
      <c r="A176">
        <v>175</v>
      </c>
      <c r="B176" s="3">
        <v>45900.615185185197</v>
      </c>
      <c r="C176" s="3">
        <v>45900.616446759297</v>
      </c>
      <c r="D176" s="4" t="s">
        <v>49</v>
      </c>
      <c r="E176" s="4" t="s">
        <v>50</v>
      </c>
      <c r="F176" s="5" t="s">
        <v>529</v>
      </c>
      <c r="G176" s="4" t="s">
        <v>132</v>
      </c>
      <c r="H176" s="2">
        <v>45878</v>
      </c>
      <c r="I176" s="4" t="s">
        <v>53</v>
      </c>
      <c r="J176" s="4" t="s">
        <v>85</v>
      </c>
      <c r="K176" s="4" t="s">
        <v>215</v>
      </c>
      <c r="L176" s="4" t="s">
        <v>56</v>
      </c>
      <c r="M176">
        <v>8</v>
      </c>
      <c r="N176">
        <v>2</v>
      </c>
      <c r="O176">
        <v>3</v>
      </c>
      <c r="P176">
        <v>1</v>
      </c>
      <c r="Q176">
        <v>12</v>
      </c>
      <c r="R176">
        <v>4</v>
      </c>
      <c r="S176">
        <v>5</v>
      </c>
      <c r="T176">
        <v>9</v>
      </c>
      <c r="U176">
        <v>10</v>
      </c>
      <c r="V176">
        <v>11</v>
      </c>
      <c r="W176">
        <v>6</v>
      </c>
      <c r="X176">
        <v>7</v>
      </c>
      <c r="Y176">
        <f>COUNTA(OfficeForms.Table[[#This Row],[elements_shelters]:[elements_restspots]])</f>
        <v>12</v>
      </c>
      <c r="Z176">
        <v>2</v>
      </c>
      <c r="AA176">
        <v>7</v>
      </c>
      <c r="AB176">
        <v>1</v>
      </c>
      <c r="AC176">
        <v>3</v>
      </c>
      <c r="AD176">
        <v>4</v>
      </c>
      <c r="AE176">
        <v>8</v>
      </c>
      <c r="AF176">
        <v>5</v>
      </c>
      <c r="AG176">
        <v>6</v>
      </c>
      <c r="AH176">
        <f>COUNTA(OfficeForms.Table[[#This Row],[pnuw_walktrails]:[pnuw_restspots]])</f>
        <v>8</v>
      </c>
      <c r="AI176" s="4" t="s">
        <v>530</v>
      </c>
      <c r="AJ176" s="4" t="s">
        <v>88</v>
      </c>
      <c r="AK176" s="4" t="s">
        <v>60</v>
      </c>
      <c r="AL176" s="4"/>
      <c r="AM176" s="4"/>
      <c r="AN176" s="4"/>
      <c r="AO176" s="4"/>
      <c r="AP176" s="4"/>
      <c r="AQ176" s="4"/>
      <c r="AR176" s="4"/>
      <c r="AS176" s="4"/>
      <c r="AT176" s="4" t="s">
        <v>81</v>
      </c>
      <c r="AU176" s="4" t="s">
        <v>73</v>
      </c>
      <c r="AV176" s="4" t="s">
        <v>74</v>
      </c>
      <c r="AW176" s="4" t="s">
        <v>441</v>
      </c>
      <c r="AX176" s="4" t="s">
        <v>441</v>
      </c>
      <c r="AY176" s="5"/>
    </row>
    <row r="177" spans="1:51" hidden="1" x14ac:dyDescent="0.3">
      <c r="A177">
        <v>176</v>
      </c>
      <c r="B177" s="3">
        <v>45900.616458333301</v>
      </c>
      <c r="C177" s="3">
        <v>45900.617395833302</v>
      </c>
      <c r="D177" s="4" t="s">
        <v>49</v>
      </c>
      <c r="E177" s="4" t="s">
        <v>50</v>
      </c>
      <c r="F177" s="5" t="s">
        <v>531</v>
      </c>
      <c r="G177" s="4" t="s">
        <v>132</v>
      </c>
      <c r="H177" s="2">
        <v>45878</v>
      </c>
      <c r="I177" s="4" t="s">
        <v>53</v>
      </c>
      <c r="J177" s="4" t="s">
        <v>54</v>
      </c>
      <c r="K177" s="4" t="s">
        <v>103</v>
      </c>
      <c r="L177" s="4" t="s">
        <v>56</v>
      </c>
      <c r="M177">
        <v>12</v>
      </c>
      <c r="N177">
        <v>3</v>
      </c>
      <c r="O177">
        <v>2</v>
      </c>
      <c r="P177">
        <v>1</v>
      </c>
      <c r="Q177">
        <v>4</v>
      </c>
      <c r="R177">
        <v>5</v>
      </c>
      <c r="S177">
        <v>6</v>
      </c>
      <c r="T177">
        <v>7</v>
      </c>
      <c r="U177">
        <v>8</v>
      </c>
      <c r="V177">
        <v>11</v>
      </c>
      <c r="W177">
        <v>10</v>
      </c>
      <c r="X177">
        <v>9</v>
      </c>
      <c r="Y177">
        <f>COUNTA(OfficeForms.Table[[#This Row],[elements_shelters]:[elements_restspots]])</f>
        <v>12</v>
      </c>
      <c r="AH177">
        <f>COUNTA(OfficeForms.Table[[#This Row],[pnuw_walktrails]:[pnuw_restspots]])</f>
        <v>0</v>
      </c>
      <c r="AI177" s="4" t="s">
        <v>532</v>
      </c>
      <c r="AJ177" s="4" t="s">
        <v>88</v>
      </c>
      <c r="AK177" s="4" t="s">
        <v>60</v>
      </c>
      <c r="AL177" s="4"/>
      <c r="AM177" s="4"/>
      <c r="AN177" s="4"/>
      <c r="AO177" s="4"/>
      <c r="AP177" s="4"/>
      <c r="AQ177" s="4"/>
      <c r="AR177" s="4"/>
      <c r="AS177" s="4"/>
      <c r="AT177" s="4" t="s">
        <v>81</v>
      </c>
      <c r="AU177" s="4" t="s">
        <v>64</v>
      </c>
      <c r="AV177" s="4" t="s">
        <v>125</v>
      </c>
      <c r="AW177" s="4" t="s">
        <v>533</v>
      </c>
      <c r="AX177" s="4" t="s">
        <v>67</v>
      </c>
      <c r="AY177" s="5"/>
    </row>
    <row r="178" spans="1:51" hidden="1" x14ac:dyDescent="0.3">
      <c r="A178">
        <v>177</v>
      </c>
      <c r="B178" s="3">
        <v>45900.6176851852</v>
      </c>
      <c r="C178" s="3">
        <v>45900.618530092601</v>
      </c>
      <c r="D178" s="4" t="s">
        <v>49</v>
      </c>
      <c r="E178" s="4" t="s">
        <v>50</v>
      </c>
      <c r="F178" s="5" t="s">
        <v>534</v>
      </c>
      <c r="G178" s="4" t="s">
        <v>132</v>
      </c>
      <c r="H178" s="2">
        <v>45878</v>
      </c>
      <c r="I178" s="4" t="s">
        <v>53</v>
      </c>
      <c r="J178" s="4" t="s">
        <v>85</v>
      </c>
      <c r="K178" s="4" t="s">
        <v>78</v>
      </c>
      <c r="L178" s="4" t="s">
        <v>70</v>
      </c>
      <c r="Y178">
        <f>COUNTA(OfficeForms.Table[[#This Row],[elements_shelters]:[elements_restspots]])</f>
        <v>0</v>
      </c>
      <c r="Z178">
        <v>1</v>
      </c>
      <c r="AA178">
        <v>2</v>
      </c>
      <c r="AB178">
        <v>4</v>
      </c>
      <c r="AC178">
        <v>3</v>
      </c>
      <c r="AD178">
        <v>5</v>
      </c>
      <c r="AE178">
        <v>8</v>
      </c>
      <c r="AF178">
        <v>6</v>
      </c>
      <c r="AG178">
        <v>7</v>
      </c>
      <c r="AH178">
        <f>COUNTA(OfficeForms.Table[[#This Row],[pnuw_walktrails]:[pnuw_restspots]])</f>
        <v>8</v>
      </c>
      <c r="AI178" s="4" t="s">
        <v>117</v>
      </c>
      <c r="AJ178" s="4" t="s">
        <v>80</v>
      </c>
      <c r="AK178" s="4" t="s">
        <v>60</v>
      </c>
      <c r="AL178" s="4"/>
      <c r="AM178" s="4"/>
      <c r="AN178" s="4"/>
      <c r="AO178" s="4"/>
      <c r="AP178" s="4"/>
      <c r="AQ178" s="4"/>
      <c r="AR178" s="4"/>
      <c r="AS178" s="4"/>
      <c r="AT178" s="4" t="s">
        <v>63</v>
      </c>
      <c r="AU178" s="4" t="s">
        <v>108</v>
      </c>
      <c r="AV178" s="4" t="s">
        <v>65</v>
      </c>
      <c r="AW178" s="4" t="s">
        <v>351</v>
      </c>
      <c r="AX178" s="4" t="s">
        <v>76</v>
      </c>
      <c r="AY178" s="5"/>
    </row>
    <row r="179" spans="1:51" hidden="1" x14ac:dyDescent="0.3">
      <c r="A179">
        <v>178</v>
      </c>
      <c r="B179" s="3">
        <v>45900.618553240703</v>
      </c>
      <c r="C179" s="3">
        <v>45900.619675925896</v>
      </c>
      <c r="D179" s="4" t="s">
        <v>49</v>
      </c>
      <c r="E179" s="4" t="s">
        <v>50</v>
      </c>
      <c r="F179" s="5" t="s">
        <v>535</v>
      </c>
      <c r="G179" s="4" t="s">
        <v>132</v>
      </c>
      <c r="H179" s="2">
        <v>45878</v>
      </c>
      <c r="I179" s="4" t="s">
        <v>53</v>
      </c>
      <c r="J179" s="4" t="s">
        <v>85</v>
      </c>
      <c r="K179" s="4" t="s">
        <v>215</v>
      </c>
      <c r="L179" s="4" t="s">
        <v>56</v>
      </c>
      <c r="M179">
        <v>9</v>
      </c>
      <c r="N179">
        <v>1</v>
      </c>
      <c r="O179">
        <v>2</v>
      </c>
      <c r="P179">
        <v>4</v>
      </c>
      <c r="Q179">
        <v>5</v>
      </c>
      <c r="R179">
        <v>3</v>
      </c>
      <c r="S179">
        <v>10</v>
      </c>
      <c r="T179">
        <v>8</v>
      </c>
      <c r="U179">
        <v>11</v>
      </c>
      <c r="V179">
        <v>12</v>
      </c>
      <c r="W179">
        <v>6</v>
      </c>
      <c r="X179">
        <v>7</v>
      </c>
      <c r="Y179">
        <f>COUNTA(OfficeForms.Table[[#This Row],[elements_shelters]:[elements_restspots]])</f>
        <v>12</v>
      </c>
      <c r="Z179">
        <v>1</v>
      </c>
      <c r="AA179">
        <v>2</v>
      </c>
      <c r="AB179">
        <v>3</v>
      </c>
      <c r="AC179">
        <v>4</v>
      </c>
      <c r="AD179">
        <v>8</v>
      </c>
      <c r="AE179">
        <v>7</v>
      </c>
      <c r="AF179">
        <v>6</v>
      </c>
      <c r="AG179">
        <v>5</v>
      </c>
      <c r="AH179">
        <f>COUNTA(OfficeForms.Table[[#This Row],[pnuw_walktrails]:[pnuw_restspots]])</f>
        <v>8</v>
      </c>
      <c r="AI179" s="4" t="s">
        <v>536</v>
      </c>
      <c r="AJ179" s="4" t="s">
        <v>88</v>
      </c>
      <c r="AK179" s="4" t="s">
        <v>60</v>
      </c>
      <c r="AL179" s="4"/>
      <c r="AM179" s="4"/>
      <c r="AN179" s="4"/>
      <c r="AO179" s="4"/>
      <c r="AP179" s="4"/>
      <c r="AQ179" s="4"/>
      <c r="AR179" s="4"/>
      <c r="AS179" s="4"/>
      <c r="AT179" s="4" t="s">
        <v>81</v>
      </c>
      <c r="AU179" s="4" t="s">
        <v>73</v>
      </c>
      <c r="AV179" s="4" t="s">
        <v>74</v>
      </c>
      <c r="AW179" s="4" t="s">
        <v>234</v>
      </c>
      <c r="AX179" s="4" t="s">
        <v>234</v>
      </c>
      <c r="AY179" s="5"/>
    </row>
    <row r="180" spans="1:51" hidden="1" x14ac:dyDescent="0.3">
      <c r="A180">
        <v>179</v>
      </c>
      <c r="B180" s="3">
        <v>45900.619791666701</v>
      </c>
      <c r="C180" s="3">
        <v>45900.621585648099</v>
      </c>
      <c r="D180" s="4" t="s">
        <v>49</v>
      </c>
      <c r="E180" s="4" t="s">
        <v>50</v>
      </c>
      <c r="F180" s="5" t="s">
        <v>537</v>
      </c>
      <c r="G180" s="4" t="s">
        <v>132</v>
      </c>
      <c r="H180" s="2">
        <v>45878</v>
      </c>
      <c r="I180" s="4" t="s">
        <v>53</v>
      </c>
      <c r="J180" s="4" t="s">
        <v>85</v>
      </c>
      <c r="K180" s="4" t="s">
        <v>55</v>
      </c>
      <c r="L180" s="4" t="s">
        <v>56</v>
      </c>
      <c r="M180">
        <v>9</v>
      </c>
      <c r="N180">
        <v>1</v>
      </c>
      <c r="O180">
        <v>7</v>
      </c>
      <c r="P180">
        <v>10</v>
      </c>
      <c r="Q180">
        <v>11</v>
      </c>
      <c r="R180">
        <v>4</v>
      </c>
      <c r="S180">
        <v>2</v>
      </c>
      <c r="T180">
        <v>6</v>
      </c>
      <c r="U180">
        <v>5</v>
      </c>
      <c r="V180">
        <v>12</v>
      </c>
      <c r="W180">
        <v>3</v>
      </c>
      <c r="X180">
        <v>8</v>
      </c>
      <c r="Y180">
        <f>COUNTA(OfficeForms.Table[[#This Row],[elements_shelters]:[elements_restspots]])</f>
        <v>12</v>
      </c>
      <c r="Z180">
        <v>1</v>
      </c>
      <c r="AA180">
        <v>6</v>
      </c>
      <c r="AB180">
        <v>7</v>
      </c>
      <c r="AC180">
        <v>3</v>
      </c>
      <c r="AD180">
        <v>2</v>
      </c>
      <c r="AE180">
        <v>8</v>
      </c>
      <c r="AF180">
        <v>4</v>
      </c>
      <c r="AG180">
        <v>5</v>
      </c>
      <c r="AH180">
        <f>COUNTA(OfficeForms.Table[[#This Row],[pnuw_walktrails]:[pnuw_restspots]])</f>
        <v>8</v>
      </c>
      <c r="AI180" s="4" t="s">
        <v>538</v>
      </c>
      <c r="AJ180" s="4" t="s">
        <v>88</v>
      </c>
      <c r="AK180" s="4" t="s">
        <v>60</v>
      </c>
      <c r="AL180" s="4"/>
      <c r="AM180" s="4"/>
      <c r="AN180" s="4"/>
      <c r="AO180" s="4"/>
      <c r="AP180" s="4"/>
      <c r="AQ180" s="4"/>
      <c r="AR180" s="4"/>
      <c r="AS180" s="4"/>
      <c r="AT180" s="4" t="s">
        <v>81</v>
      </c>
      <c r="AU180" s="4" t="s">
        <v>64</v>
      </c>
      <c r="AV180" s="4" t="s">
        <v>125</v>
      </c>
      <c r="AW180" s="4" t="s">
        <v>351</v>
      </c>
      <c r="AX180" s="4" t="s">
        <v>76</v>
      </c>
      <c r="AY180" s="5"/>
    </row>
    <row r="181" spans="1:51" hidden="1" x14ac:dyDescent="0.3">
      <c r="A181">
        <v>180</v>
      </c>
      <c r="B181" s="3">
        <v>45900.626250000001</v>
      </c>
      <c r="C181" s="3">
        <v>45900.627175925903</v>
      </c>
      <c r="D181" s="4" t="s">
        <v>49</v>
      </c>
      <c r="E181" s="4" t="s">
        <v>50</v>
      </c>
      <c r="F181" s="5" t="s">
        <v>539</v>
      </c>
      <c r="G181" s="4" t="s">
        <v>132</v>
      </c>
      <c r="H181" s="2">
        <v>45878</v>
      </c>
      <c r="I181" s="4" t="s">
        <v>53</v>
      </c>
      <c r="J181" s="4" t="s">
        <v>85</v>
      </c>
      <c r="K181" s="4" t="s">
        <v>78</v>
      </c>
      <c r="L181" s="4" t="s">
        <v>56</v>
      </c>
      <c r="M181">
        <v>11</v>
      </c>
      <c r="N181">
        <v>1</v>
      </c>
      <c r="O181">
        <v>7</v>
      </c>
      <c r="P181">
        <v>8</v>
      </c>
      <c r="Q181">
        <v>9</v>
      </c>
      <c r="R181">
        <v>2</v>
      </c>
      <c r="S181">
        <v>3</v>
      </c>
      <c r="T181">
        <v>5</v>
      </c>
      <c r="U181">
        <v>6</v>
      </c>
      <c r="V181">
        <v>12</v>
      </c>
      <c r="W181">
        <v>4</v>
      </c>
      <c r="X181">
        <v>10</v>
      </c>
      <c r="Y181">
        <f>COUNTA(OfficeForms.Table[[#This Row],[elements_shelters]:[elements_restspots]])</f>
        <v>12</v>
      </c>
      <c r="Z181">
        <v>1</v>
      </c>
      <c r="AA181">
        <v>5</v>
      </c>
      <c r="AB181">
        <v>6</v>
      </c>
      <c r="AC181">
        <v>2</v>
      </c>
      <c r="AD181">
        <v>4</v>
      </c>
      <c r="AE181">
        <v>8</v>
      </c>
      <c r="AF181">
        <v>3</v>
      </c>
      <c r="AG181">
        <v>7</v>
      </c>
      <c r="AH181">
        <f>COUNTA(OfficeForms.Table[[#This Row],[pnuw_walktrails]:[pnuw_restspots]])</f>
        <v>8</v>
      </c>
      <c r="AI181" s="4" t="s">
        <v>117</v>
      </c>
      <c r="AJ181" s="4" t="s">
        <v>72</v>
      </c>
      <c r="AK181" s="4" t="s">
        <v>60</v>
      </c>
      <c r="AL181" s="4"/>
      <c r="AM181" s="4"/>
      <c r="AN181" s="4"/>
      <c r="AO181" s="4"/>
      <c r="AP181" s="4"/>
      <c r="AQ181" s="4"/>
      <c r="AR181" s="4"/>
      <c r="AS181" s="4"/>
      <c r="AT181" s="4" t="s">
        <v>63</v>
      </c>
      <c r="AU181" s="4" t="s">
        <v>64</v>
      </c>
      <c r="AV181" s="4" t="s">
        <v>65</v>
      </c>
      <c r="AW181" s="4" t="s">
        <v>234</v>
      </c>
      <c r="AX181" s="4" t="s">
        <v>234</v>
      </c>
      <c r="AY181" s="5"/>
    </row>
    <row r="182" spans="1:51" hidden="1" x14ac:dyDescent="0.3">
      <c r="A182">
        <v>181</v>
      </c>
      <c r="B182" s="3">
        <v>45900.6272916667</v>
      </c>
      <c r="C182" s="3">
        <v>45900.628634259301</v>
      </c>
      <c r="D182" s="4" t="s">
        <v>49</v>
      </c>
      <c r="E182" s="4" t="s">
        <v>50</v>
      </c>
      <c r="F182" s="5" t="s">
        <v>540</v>
      </c>
      <c r="G182" s="4" t="s">
        <v>132</v>
      </c>
      <c r="H182" s="2">
        <v>45878</v>
      </c>
      <c r="I182" s="4" t="s">
        <v>53</v>
      </c>
      <c r="J182" s="4" t="s">
        <v>85</v>
      </c>
      <c r="K182" s="4" t="s">
        <v>78</v>
      </c>
      <c r="L182" s="4" t="s">
        <v>86</v>
      </c>
      <c r="M182">
        <v>12</v>
      </c>
      <c r="N182">
        <v>2</v>
      </c>
      <c r="O182">
        <v>1</v>
      </c>
      <c r="P182">
        <v>10</v>
      </c>
      <c r="Q182">
        <v>11</v>
      </c>
      <c r="R182">
        <v>3</v>
      </c>
      <c r="S182">
        <v>6</v>
      </c>
      <c r="T182">
        <v>9</v>
      </c>
      <c r="U182">
        <v>8</v>
      </c>
      <c r="V182">
        <v>7</v>
      </c>
      <c r="W182">
        <v>4</v>
      </c>
      <c r="X182">
        <v>5</v>
      </c>
      <c r="Y182">
        <f>COUNTA(OfficeForms.Table[[#This Row],[elements_shelters]:[elements_restspots]])</f>
        <v>12</v>
      </c>
      <c r="Z182">
        <v>1</v>
      </c>
      <c r="AA182">
        <v>2</v>
      </c>
      <c r="AB182">
        <v>8</v>
      </c>
      <c r="AC182">
        <v>3</v>
      </c>
      <c r="AD182">
        <v>4</v>
      </c>
      <c r="AE182">
        <v>7</v>
      </c>
      <c r="AF182">
        <v>6</v>
      </c>
      <c r="AG182">
        <v>5</v>
      </c>
      <c r="AH182">
        <f>COUNTA(OfficeForms.Table[[#This Row],[pnuw_walktrails]:[pnuw_restspots]])</f>
        <v>8</v>
      </c>
      <c r="AI182" s="4" t="s">
        <v>541</v>
      </c>
      <c r="AJ182" s="4" t="s">
        <v>58</v>
      </c>
      <c r="AK182" s="4" t="s">
        <v>59</v>
      </c>
      <c r="AL182" s="4" t="s">
        <v>60</v>
      </c>
      <c r="AM182" s="4"/>
      <c r="AN182" s="4" t="s">
        <v>61</v>
      </c>
      <c r="AO182" s="4"/>
      <c r="AP182" s="4" t="s">
        <v>59</v>
      </c>
      <c r="AQ182" s="4" t="s">
        <v>308</v>
      </c>
      <c r="AR182" s="4" t="s">
        <v>61</v>
      </c>
      <c r="AS182" s="4"/>
      <c r="AT182" s="4" t="s">
        <v>81</v>
      </c>
      <c r="AU182" s="4" t="s">
        <v>73</v>
      </c>
      <c r="AV182" s="4" t="s">
        <v>74</v>
      </c>
      <c r="AW182" s="4" t="s">
        <v>542</v>
      </c>
      <c r="AX182" s="4" t="s">
        <v>543</v>
      </c>
      <c r="AY182" s="5"/>
    </row>
    <row r="183" spans="1:51" x14ac:dyDescent="0.3">
      <c r="A183">
        <v>182</v>
      </c>
      <c r="B183" s="3">
        <v>45900.628750000003</v>
      </c>
      <c r="C183" s="3">
        <v>45900.630081018498</v>
      </c>
      <c r="D183" s="4" t="s">
        <v>49</v>
      </c>
      <c r="E183" s="4" t="s">
        <v>50</v>
      </c>
      <c r="F183" s="5" t="s">
        <v>544</v>
      </c>
      <c r="G183" s="4" t="s">
        <v>132</v>
      </c>
      <c r="H183" s="2">
        <v>45878</v>
      </c>
      <c r="I183" s="4" t="s">
        <v>53</v>
      </c>
      <c r="J183" s="4" t="s">
        <v>85</v>
      </c>
      <c r="K183" s="4" t="s">
        <v>78</v>
      </c>
      <c r="L183" s="4" t="s">
        <v>56</v>
      </c>
      <c r="Y183">
        <f>COUNTA(OfficeForms.Table[[#This Row],[elements_shelters]:[elements_restspots]])</f>
        <v>0</v>
      </c>
      <c r="AH183">
        <f>COUNTA(OfficeForms.Table[[#This Row],[pnuw_walktrails]:[pnuw_restspots]])</f>
        <v>0</v>
      </c>
      <c r="AI183" s="4" t="s">
        <v>545</v>
      </c>
      <c r="AJ183" s="4" t="s">
        <v>546</v>
      </c>
      <c r="AK183" s="4" t="s">
        <v>59</v>
      </c>
      <c r="AL183" s="4" t="s">
        <v>60</v>
      </c>
      <c r="AM183" s="4"/>
      <c r="AN183" s="4" t="s">
        <v>61</v>
      </c>
      <c r="AO183" s="4"/>
      <c r="AP183" s="4" t="s">
        <v>59</v>
      </c>
      <c r="AQ183" s="4" t="s">
        <v>251</v>
      </c>
      <c r="AR183" s="4" t="s">
        <v>61</v>
      </c>
      <c r="AS183" s="4"/>
      <c r="AT183" s="4" t="s">
        <v>63</v>
      </c>
      <c r="AU183" s="4" t="s">
        <v>73</v>
      </c>
      <c r="AV183" s="4" t="s">
        <v>125</v>
      </c>
      <c r="AW183" s="4" t="s">
        <v>542</v>
      </c>
      <c r="AX183" s="4" t="s">
        <v>543</v>
      </c>
      <c r="AY183" s="5"/>
    </row>
    <row r="184" spans="1:51" hidden="1" x14ac:dyDescent="0.3">
      <c r="A184">
        <v>183</v>
      </c>
      <c r="B184" s="3">
        <v>45900.630243055602</v>
      </c>
      <c r="C184" s="3">
        <v>45900.630868055603</v>
      </c>
      <c r="D184" s="4" t="s">
        <v>49</v>
      </c>
      <c r="E184" s="4" t="s">
        <v>50</v>
      </c>
      <c r="F184" s="5" t="s">
        <v>547</v>
      </c>
      <c r="G184" s="4" t="s">
        <v>132</v>
      </c>
      <c r="H184" s="2">
        <v>45879</v>
      </c>
      <c r="I184" s="4" t="s">
        <v>53</v>
      </c>
      <c r="J184" s="4" t="s">
        <v>54</v>
      </c>
      <c r="K184" s="4" t="s">
        <v>78</v>
      </c>
      <c r="L184" s="4" t="s">
        <v>86</v>
      </c>
      <c r="Y184">
        <f>COUNTA(OfficeForms.Table[[#This Row],[elements_shelters]:[elements_restspots]])</f>
        <v>0</v>
      </c>
      <c r="AH184">
        <f>COUNTA(OfficeForms.Table[[#This Row],[pnuw_walktrails]:[pnuw_restspots]])</f>
        <v>0</v>
      </c>
      <c r="AI184" s="4" t="s">
        <v>548</v>
      </c>
      <c r="AJ184" s="4" t="s">
        <v>88</v>
      </c>
      <c r="AK184" s="4" t="s">
        <v>60</v>
      </c>
      <c r="AL184" s="4"/>
      <c r="AM184" s="4"/>
      <c r="AN184" s="4"/>
      <c r="AO184" s="4"/>
      <c r="AP184" s="4"/>
      <c r="AQ184" s="4"/>
      <c r="AR184" s="4"/>
      <c r="AS184" s="4"/>
      <c r="AT184" s="4" t="s">
        <v>81</v>
      </c>
      <c r="AU184" s="4" t="s">
        <v>64</v>
      </c>
      <c r="AV184" s="4" t="s">
        <v>99</v>
      </c>
      <c r="AW184" s="4" t="s">
        <v>83</v>
      </c>
      <c r="AX184" s="4" t="s">
        <v>67</v>
      </c>
      <c r="AY184" s="5"/>
    </row>
    <row r="185" spans="1:51" hidden="1" x14ac:dyDescent="0.3">
      <c r="A185">
        <v>184</v>
      </c>
      <c r="B185" s="3">
        <v>45900.630983796298</v>
      </c>
      <c r="C185" s="3">
        <v>45900.6351967593</v>
      </c>
      <c r="D185" s="4" t="s">
        <v>49</v>
      </c>
      <c r="E185" s="4" t="s">
        <v>50</v>
      </c>
      <c r="F185" s="5" t="s">
        <v>549</v>
      </c>
      <c r="G185" s="4" t="s">
        <v>132</v>
      </c>
      <c r="H185" s="2">
        <v>45879</v>
      </c>
      <c r="I185" s="4" t="s">
        <v>53</v>
      </c>
      <c r="J185" s="4" t="s">
        <v>54</v>
      </c>
      <c r="K185" s="4" t="s">
        <v>78</v>
      </c>
      <c r="L185" s="4" t="s">
        <v>56</v>
      </c>
      <c r="M185">
        <v>11</v>
      </c>
      <c r="N185">
        <v>4</v>
      </c>
      <c r="O185">
        <v>2</v>
      </c>
      <c r="P185">
        <v>5</v>
      </c>
      <c r="Q185">
        <v>9</v>
      </c>
      <c r="R185">
        <v>7</v>
      </c>
      <c r="S185">
        <v>10</v>
      </c>
      <c r="T185">
        <v>1</v>
      </c>
      <c r="U185">
        <v>8</v>
      </c>
      <c r="V185">
        <v>12</v>
      </c>
      <c r="W185">
        <v>3</v>
      </c>
      <c r="X185">
        <v>6</v>
      </c>
      <c r="Y185">
        <f>COUNTA(OfficeForms.Table[[#This Row],[elements_shelters]:[elements_restspots]])</f>
        <v>12</v>
      </c>
      <c r="Z185">
        <v>5</v>
      </c>
      <c r="AA185">
        <v>1</v>
      </c>
      <c r="AB185">
        <v>2</v>
      </c>
      <c r="AC185">
        <v>4</v>
      </c>
      <c r="AD185">
        <v>7</v>
      </c>
      <c r="AE185">
        <v>6</v>
      </c>
      <c r="AF185">
        <v>3</v>
      </c>
      <c r="AG185">
        <v>5</v>
      </c>
      <c r="AH185">
        <f>COUNTA(OfficeForms.Table[[#This Row],[pnuw_walktrails]:[pnuw_restspots]])</f>
        <v>8</v>
      </c>
      <c r="AI185" s="4" t="s">
        <v>550</v>
      </c>
      <c r="AJ185" s="4" t="s">
        <v>72</v>
      </c>
      <c r="AK185" s="4" t="s">
        <v>60</v>
      </c>
      <c r="AL185" s="4"/>
      <c r="AM185" s="4"/>
      <c r="AN185" s="4"/>
      <c r="AO185" s="4"/>
      <c r="AP185" s="4"/>
      <c r="AQ185" s="4"/>
      <c r="AR185" s="4"/>
      <c r="AS185" s="4"/>
      <c r="AT185" s="4" t="s">
        <v>63</v>
      </c>
      <c r="AU185" s="4" t="s">
        <v>73</v>
      </c>
      <c r="AV185" s="4" t="s">
        <v>74</v>
      </c>
      <c r="AW185" s="4" t="s">
        <v>194</v>
      </c>
      <c r="AX185" s="4" t="s">
        <v>194</v>
      </c>
      <c r="AY185" s="5"/>
    </row>
    <row r="186" spans="1:51" hidden="1" x14ac:dyDescent="0.3">
      <c r="A186">
        <v>185</v>
      </c>
      <c r="B186" s="3">
        <v>45900.635300925896</v>
      </c>
      <c r="C186" s="3">
        <v>45900.636192129597</v>
      </c>
      <c r="D186" s="4" t="s">
        <v>49</v>
      </c>
      <c r="E186" s="4" t="s">
        <v>50</v>
      </c>
      <c r="F186" s="5" t="s">
        <v>551</v>
      </c>
      <c r="G186" s="4" t="s">
        <v>132</v>
      </c>
      <c r="H186" s="2">
        <v>45879</v>
      </c>
      <c r="I186" s="4" t="s">
        <v>53</v>
      </c>
      <c r="J186" s="4" t="s">
        <v>85</v>
      </c>
      <c r="K186" s="4" t="s">
        <v>215</v>
      </c>
      <c r="L186" s="4" t="s">
        <v>86</v>
      </c>
      <c r="Y186">
        <f>COUNTA(OfficeForms.Table[[#This Row],[elements_shelters]:[elements_restspots]])</f>
        <v>0</v>
      </c>
      <c r="AH186">
        <f>COUNTA(OfficeForms.Table[[#This Row],[pnuw_walktrails]:[pnuw_restspots]])</f>
        <v>0</v>
      </c>
      <c r="AI186" s="4" t="s">
        <v>552</v>
      </c>
      <c r="AJ186" s="4" t="s">
        <v>88</v>
      </c>
      <c r="AK186" s="4" t="s">
        <v>60</v>
      </c>
      <c r="AL186" s="4"/>
      <c r="AM186" s="4"/>
      <c r="AN186" s="4"/>
      <c r="AO186" s="4"/>
      <c r="AP186" s="4"/>
      <c r="AQ186" s="4"/>
      <c r="AR186" s="4"/>
      <c r="AS186" s="4"/>
      <c r="AT186" s="4" t="s">
        <v>81</v>
      </c>
      <c r="AU186" s="4" t="s">
        <v>73</v>
      </c>
      <c r="AV186" s="4" t="s">
        <v>82</v>
      </c>
      <c r="AW186" s="4" t="s">
        <v>394</v>
      </c>
      <c r="AX186" s="4" t="s">
        <v>394</v>
      </c>
      <c r="AY186" s="5"/>
    </row>
    <row r="187" spans="1:51" hidden="1" x14ac:dyDescent="0.3">
      <c r="A187">
        <v>186</v>
      </c>
      <c r="B187" s="3">
        <v>45900.636296296303</v>
      </c>
      <c r="C187" s="3">
        <v>45900.637199074103</v>
      </c>
      <c r="D187" s="4" t="s">
        <v>49</v>
      </c>
      <c r="E187" s="4" t="s">
        <v>50</v>
      </c>
      <c r="F187" s="5" t="s">
        <v>553</v>
      </c>
      <c r="G187" s="4" t="s">
        <v>132</v>
      </c>
      <c r="H187" s="2">
        <v>45879</v>
      </c>
      <c r="I187" s="4" t="s">
        <v>53</v>
      </c>
      <c r="J187" s="4" t="s">
        <v>85</v>
      </c>
      <c r="K187" s="4" t="s">
        <v>215</v>
      </c>
      <c r="L187" s="4" t="s">
        <v>56</v>
      </c>
      <c r="M187">
        <v>3</v>
      </c>
      <c r="N187">
        <v>6</v>
      </c>
      <c r="O187">
        <v>5</v>
      </c>
      <c r="P187">
        <v>4</v>
      </c>
      <c r="Q187">
        <v>12</v>
      </c>
      <c r="R187">
        <v>7</v>
      </c>
      <c r="S187">
        <v>9</v>
      </c>
      <c r="T187">
        <v>10</v>
      </c>
      <c r="U187">
        <v>8</v>
      </c>
      <c r="V187">
        <v>11</v>
      </c>
      <c r="W187">
        <v>1</v>
      </c>
      <c r="X187">
        <v>2</v>
      </c>
      <c r="Y187">
        <f>COUNTA(OfficeForms.Table[[#This Row],[elements_shelters]:[elements_restspots]])</f>
        <v>12</v>
      </c>
      <c r="Z187">
        <v>6</v>
      </c>
      <c r="AA187">
        <v>5</v>
      </c>
      <c r="AB187">
        <v>3</v>
      </c>
      <c r="AC187">
        <v>4</v>
      </c>
      <c r="AD187">
        <v>7</v>
      </c>
      <c r="AE187">
        <v>8</v>
      </c>
      <c r="AF187">
        <v>1</v>
      </c>
      <c r="AG187">
        <v>2</v>
      </c>
      <c r="AH187">
        <f>COUNTA(OfficeForms.Table[[#This Row],[pnuw_walktrails]:[pnuw_restspots]])</f>
        <v>8</v>
      </c>
      <c r="AI187" s="4" t="s">
        <v>117</v>
      </c>
      <c r="AJ187" s="4" t="s">
        <v>88</v>
      </c>
      <c r="AK187" s="4" t="s">
        <v>60</v>
      </c>
      <c r="AL187" s="4"/>
      <c r="AM187" s="4"/>
      <c r="AN187" s="4"/>
      <c r="AO187" s="4"/>
      <c r="AP187" s="4"/>
      <c r="AQ187" s="4"/>
      <c r="AR187" s="4"/>
      <c r="AS187" s="4"/>
      <c r="AT187" s="4" t="s">
        <v>63</v>
      </c>
      <c r="AU187" s="4" t="s">
        <v>64</v>
      </c>
      <c r="AV187" s="4" t="s">
        <v>82</v>
      </c>
      <c r="AW187" s="4" t="s">
        <v>394</v>
      </c>
      <c r="AX187" s="4" t="s">
        <v>394</v>
      </c>
      <c r="AY187" s="5"/>
    </row>
    <row r="188" spans="1:51" hidden="1" x14ac:dyDescent="0.3">
      <c r="A188">
        <v>187</v>
      </c>
      <c r="B188" s="3">
        <v>45900.637337963002</v>
      </c>
      <c r="C188" s="3">
        <v>45900.638576388897</v>
      </c>
      <c r="D188" s="4" t="s">
        <v>49</v>
      </c>
      <c r="E188" s="4" t="s">
        <v>50</v>
      </c>
      <c r="F188" s="5" t="s">
        <v>554</v>
      </c>
      <c r="G188" s="4" t="s">
        <v>132</v>
      </c>
      <c r="H188" s="2">
        <v>45879</v>
      </c>
      <c r="I188" s="4" t="s">
        <v>53</v>
      </c>
      <c r="J188" s="4" t="s">
        <v>85</v>
      </c>
      <c r="K188" s="4" t="s">
        <v>55</v>
      </c>
      <c r="L188" s="4" t="s">
        <v>86</v>
      </c>
      <c r="M188">
        <v>11</v>
      </c>
      <c r="N188">
        <v>1</v>
      </c>
      <c r="O188">
        <v>9</v>
      </c>
      <c r="P188">
        <v>2</v>
      </c>
      <c r="Q188">
        <v>10</v>
      </c>
      <c r="R188">
        <v>5</v>
      </c>
      <c r="S188">
        <v>7</v>
      </c>
      <c r="T188">
        <v>8</v>
      </c>
      <c r="U188">
        <v>6</v>
      </c>
      <c r="V188">
        <v>12</v>
      </c>
      <c r="W188">
        <v>3</v>
      </c>
      <c r="X188">
        <v>4</v>
      </c>
      <c r="Y188">
        <f>COUNTA(OfficeForms.Table[[#This Row],[elements_shelters]:[elements_restspots]])</f>
        <v>12</v>
      </c>
      <c r="Z188">
        <v>2</v>
      </c>
      <c r="AA188">
        <v>5</v>
      </c>
      <c r="AB188">
        <v>1</v>
      </c>
      <c r="AC188">
        <v>4</v>
      </c>
      <c r="AD188">
        <v>6</v>
      </c>
      <c r="AE188">
        <v>8</v>
      </c>
      <c r="AF188">
        <v>3</v>
      </c>
      <c r="AG188">
        <v>7</v>
      </c>
      <c r="AH188">
        <f>COUNTA(OfficeForms.Table[[#This Row],[pnuw_walktrails]:[pnuw_restspots]])</f>
        <v>8</v>
      </c>
      <c r="AI188" s="4" t="s">
        <v>555</v>
      </c>
      <c r="AJ188" s="4" t="s">
        <v>72</v>
      </c>
      <c r="AK188" s="4" t="s">
        <v>60</v>
      </c>
      <c r="AL188" s="4"/>
      <c r="AM188" s="4"/>
      <c r="AN188" s="4"/>
      <c r="AO188" s="4"/>
      <c r="AP188" s="4"/>
      <c r="AQ188" s="4"/>
      <c r="AR188" s="4"/>
      <c r="AS188" s="4"/>
      <c r="AT188" s="4" t="s">
        <v>63</v>
      </c>
      <c r="AU188" s="4" t="s">
        <v>73</v>
      </c>
      <c r="AV188" s="4" t="s">
        <v>82</v>
      </c>
      <c r="AW188" s="4" t="s">
        <v>556</v>
      </c>
      <c r="AX188" s="4" t="s">
        <v>375</v>
      </c>
      <c r="AY188" s="5"/>
    </row>
    <row r="189" spans="1:51" hidden="1" x14ac:dyDescent="0.3">
      <c r="A189">
        <v>188</v>
      </c>
      <c r="B189" s="3">
        <v>45900.638773148203</v>
      </c>
      <c r="C189" s="3">
        <v>45900.640335648102</v>
      </c>
      <c r="D189" s="4" t="s">
        <v>49</v>
      </c>
      <c r="E189" s="4" t="s">
        <v>50</v>
      </c>
      <c r="F189" s="5" t="s">
        <v>557</v>
      </c>
      <c r="G189" s="4" t="s">
        <v>132</v>
      </c>
      <c r="H189" s="2">
        <v>45879</v>
      </c>
      <c r="I189" s="4" t="s">
        <v>53</v>
      </c>
      <c r="J189" s="4" t="s">
        <v>85</v>
      </c>
      <c r="K189" s="4" t="s">
        <v>55</v>
      </c>
      <c r="L189" s="4" t="s">
        <v>56</v>
      </c>
      <c r="M189">
        <v>12</v>
      </c>
      <c r="N189">
        <v>2</v>
      </c>
      <c r="O189">
        <v>10</v>
      </c>
      <c r="P189">
        <v>1</v>
      </c>
      <c r="Q189">
        <v>7</v>
      </c>
      <c r="R189">
        <v>3</v>
      </c>
      <c r="S189">
        <v>11</v>
      </c>
      <c r="T189">
        <v>4</v>
      </c>
      <c r="U189">
        <v>5</v>
      </c>
      <c r="V189">
        <v>9</v>
      </c>
      <c r="W189">
        <v>6</v>
      </c>
      <c r="X189">
        <v>8</v>
      </c>
      <c r="Y189">
        <f>COUNTA(OfficeForms.Table[[#This Row],[elements_shelters]:[elements_restspots]])</f>
        <v>12</v>
      </c>
      <c r="Z189">
        <v>2</v>
      </c>
      <c r="AA189">
        <v>8</v>
      </c>
      <c r="AB189">
        <v>1</v>
      </c>
      <c r="AC189">
        <v>3</v>
      </c>
      <c r="AD189">
        <v>6</v>
      </c>
      <c r="AE189">
        <v>7</v>
      </c>
      <c r="AF189">
        <v>4</v>
      </c>
      <c r="AG189">
        <v>5</v>
      </c>
      <c r="AH189">
        <f>COUNTA(OfficeForms.Table[[#This Row],[pnuw_walktrails]:[pnuw_restspots]])</f>
        <v>8</v>
      </c>
      <c r="AI189" s="4" t="s">
        <v>558</v>
      </c>
      <c r="AJ189" s="4" t="s">
        <v>72</v>
      </c>
      <c r="AK189" s="4" t="s">
        <v>60</v>
      </c>
      <c r="AL189" s="4"/>
      <c r="AM189" s="4"/>
      <c r="AN189" s="4"/>
      <c r="AO189" s="4"/>
      <c r="AP189" s="4"/>
      <c r="AQ189" s="4"/>
      <c r="AR189" s="4"/>
      <c r="AS189" s="4"/>
      <c r="AT189" s="4" t="s">
        <v>81</v>
      </c>
      <c r="AU189" s="4" t="s">
        <v>73</v>
      </c>
      <c r="AV189" s="4" t="s">
        <v>82</v>
      </c>
      <c r="AW189" s="4" t="s">
        <v>394</v>
      </c>
      <c r="AX189" s="4" t="s">
        <v>394</v>
      </c>
      <c r="AY189" s="5"/>
    </row>
    <row r="190" spans="1:51" hidden="1" x14ac:dyDescent="0.3">
      <c r="A190">
        <v>189</v>
      </c>
      <c r="B190" s="3">
        <v>45900.640474537002</v>
      </c>
      <c r="C190" s="3">
        <v>45900.641226851803</v>
      </c>
      <c r="D190" s="4" t="s">
        <v>49</v>
      </c>
      <c r="E190" s="4" t="s">
        <v>50</v>
      </c>
      <c r="F190" s="5" t="s">
        <v>559</v>
      </c>
      <c r="G190" s="4" t="s">
        <v>132</v>
      </c>
      <c r="H190" s="2">
        <v>45879</v>
      </c>
      <c r="I190" s="4" t="s">
        <v>53</v>
      </c>
      <c r="J190" s="4" t="s">
        <v>54</v>
      </c>
      <c r="K190" s="4" t="s">
        <v>55</v>
      </c>
      <c r="L190" s="4" t="s">
        <v>56</v>
      </c>
      <c r="Y190">
        <f>COUNTA(OfficeForms.Table[[#This Row],[elements_shelters]:[elements_restspots]])</f>
        <v>0</v>
      </c>
      <c r="AH190">
        <f>COUNTA(OfficeForms.Table[[#This Row],[pnuw_walktrails]:[pnuw_restspots]])</f>
        <v>0</v>
      </c>
      <c r="AI190" s="4" t="s">
        <v>117</v>
      </c>
      <c r="AJ190" s="4" t="s">
        <v>80</v>
      </c>
      <c r="AK190" s="4" t="s">
        <v>60</v>
      </c>
      <c r="AL190" s="4"/>
      <c r="AM190" s="4"/>
      <c r="AN190" s="4"/>
      <c r="AO190" s="4"/>
      <c r="AP190" s="4"/>
      <c r="AQ190" s="4"/>
      <c r="AR190" s="4"/>
      <c r="AS190" s="4"/>
      <c r="AT190" s="4" t="s">
        <v>81</v>
      </c>
      <c r="AU190" s="4" t="s">
        <v>108</v>
      </c>
      <c r="AV190" s="4" t="s">
        <v>99</v>
      </c>
      <c r="AW190" s="4" t="s">
        <v>83</v>
      </c>
      <c r="AX190" s="4" t="s">
        <v>67</v>
      </c>
      <c r="AY190" s="5"/>
    </row>
    <row r="191" spans="1:51" hidden="1" x14ac:dyDescent="0.3">
      <c r="A191">
        <v>190</v>
      </c>
      <c r="B191" s="3">
        <v>45900.641238425902</v>
      </c>
      <c r="C191" s="3">
        <v>45900.6425115741</v>
      </c>
      <c r="D191" s="4" t="s">
        <v>49</v>
      </c>
      <c r="E191" s="4" t="s">
        <v>50</v>
      </c>
      <c r="F191" s="5" t="s">
        <v>560</v>
      </c>
      <c r="G191" s="4" t="s">
        <v>132</v>
      </c>
      <c r="H191" s="2">
        <v>45879</v>
      </c>
      <c r="I191" s="4" t="s">
        <v>53</v>
      </c>
      <c r="J191" s="4" t="s">
        <v>54</v>
      </c>
      <c r="K191" s="4" t="s">
        <v>55</v>
      </c>
      <c r="L191" s="4" t="s">
        <v>56</v>
      </c>
      <c r="M191">
        <v>11</v>
      </c>
      <c r="N191">
        <v>1</v>
      </c>
      <c r="O191">
        <v>2</v>
      </c>
      <c r="P191">
        <v>8</v>
      </c>
      <c r="Q191">
        <v>10</v>
      </c>
      <c r="R191">
        <v>7</v>
      </c>
      <c r="S191">
        <v>9</v>
      </c>
      <c r="T191">
        <v>5</v>
      </c>
      <c r="U191">
        <v>6</v>
      </c>
      <c r="V191">
        <v>12</v>
      </c>
      <c r="W191">
        <v>3</v>
      </c>
      <c r="X191">
        <v>4</v>
      </c>
      <c r="Y191">
        <f>COUNTA(OfficeForms.Table[[#This Row],[elements_shelters]:[elements_restspots]])</f>
        <v>12</v>
      </c>
      <c r="Z191">
        <v>1</v>
      </c>
      <c r="AA191">
        <v>2</v>
      </c>
      <c r="AB191">
        <v>7</v>
      </c>
      <c r="AC191">
        <v>6</v>
      </c>
      <c r="AD191">
        <v>8</v>
      </c>
      <c r="AE191">
        <v>5</v>
      </c>
      <c r="AF191">
        <v>4</v>
      </c>
      <c r="AG191">
        <v>3</v>
      </c>
      <c r="AH191">
        <f>COUNTA(OfficeForms.Table[[#This Row],[pnuw_walktrails]:[pnuw_restspots]])</f>
        <v>8</v>
      </c>
      <c r="AI191" s="4" t="s">
        <v>117</v>
      </c>
      <c r="AJ191" s="4" t="s">
        <v>88</v>
      </c>
      <c r="AK191" s="4" t="s">
        <v>60</v>
      </c>
      <c r="AL191" s="4"/>
      <c r="AM191" s="4"/>
      <c r="AN191" s="4"/>
      <c r="AO191" s="4"/>
      <c r="AP191" s="4"/>
      <c r="AQ191" s="4"/>
      <c r="AR191" s="4"/>
      <c r="AS191" s="4"/>
      <c r="AT191" s="4" t="s">
        <v>63</v>
      </c>
      <c r="AU191" s="4" t="s">
        <v>64</v>
      </c>
      <c r="AV191" s="4" t="s">
        <v>99</v>
      </c>
      <c r="AW191" s="4" t="s">
        <v>83</v>
      </c>
      <c r="AX191" s="4" t="s">
        <v>67</v>
      </c>
      <c r="AY191" s="5"/>
    </row>
    <row r="192" spans="1:51" hidden="1" x14ac:dyDescent="0.3">
      <c r="A192">
        <v>191</v>
      </c>
      <c r="B192" s="3">
        <v>45900.642523148097</v>
      </c>
      <c r="C192" s="3">
        <v>45900.644062500003</v>
      </c>
      <c r="D192" s="4" t="s">
        <v>49</v>
      </c>
      <c r="E192" s="4" t="s">
        <v>50</v>
      </c>
      <c r="F192" s="5" t="s">
        <v>561</v>
      </c>
      <c r="G192" s="4" t="s">
        <v>132</v>
      </c>
      <c r="H192" s="2">
        <v>45879</v>
      </c>
      <c r="I192" s="4" t="s">
        <v>53</v>
      </c>
      <c r="J192" s="4" t="s">
        <v>54</v>
      </c>
      <c r="K192" s="4" t="s">
        <v>78</v>
      </c>
      <c r="L192" s="4" t="s">
        <v>70</v>
      </c>
      <c r="M192">
        <v>8</v>
      </c>
      <c r="N192">
        <v>1</v>
      </c>
      <c r="O192">
        <v>7</v>
      </c>
      <c r="P192">
        <v>2</v>
      </c>
      <c r="Q192">
        <v>6</v>
      </c>
      <c r="R192">
        <v>5</v>
      </c>
      <c r="S192">
        <v>9</v>
      </c>
      <c r="T192">
        <v>3</v>
      </c>
      <c r="U192">
        <v>4</v>
      </c>
      <c r="V192">
        <v>10</v>
      </c>
      <c r="W192">
        <v>11</v>
      </c>
      <c r="X192">
        <v>12</v>
      </c>
      <c r="Y192">
        <f>COUNTA(OfficeForms.Table[[#This Row],[elements_shelters]:[elements_restspots]])</f>
        <v>12</v>
      </c>
      <c r="Z192">
        <v>1</v>
      </c>
      <c r="AA192">
        <v>2</v>
      </c>
      <c r="AB192">
        <v>4</v>
      </c>
      <c r="AC192">
        <v>5</v>
      </c>
      <c r="AD192">
        <v>3</v>
      </c>
      <c r="AE192">
        <v>6</v>
      </c>
      <c r="AF192">
        <v>7</v>
      </c>
      <c r="AG192">
        <v>8</v>
      </c>
      <c r="AH192">
        <f>COUNTA(OfficeForms.Table[[#This Row],[pnuw_walktrails]:[pnuw_restspots]])</f>
        <v>8</v>
      </c>
      <c r="AI192" s="4" t="s">
        <v>117</v>
      </c>
      <c r="AJ192" s="4" t="s">
        <v>88</v>
      </c>
      <c r="AK192" s="4" t="s">
        <v>59</v>
      </c>
      <c r="AL192" s="4" t="s">
        <v>60</v>
      </c>
      <c r="AM192" s="4"/>
      <c r="AN192" s="4" t="s">
        <v>61</v>
      </c>
      <c r="AO192" s="4"/>
      <c r="AP192" s="4" t="s">
        <v>60</v>
      </c>
      <c r="AQ192" s="4"/>
      <c r="AR192" s="4" t="s">
        <v>61</v>
      </c>
      <c r="AS192" s="4"/>
      <c r="AT192" s="4" t="s">
        <v>81</v>
      </c>
      <c r="AU192" s="4" t="s">
        <v>108</v>
      </c>
      <c r="AV192" s="4" t="s">
        <v>125</v>
      </c>
      <c r="AW192" s="4" t="s">
        <v>83</v>
      </c>
      <c r="AX192" s="4" t="s">
        <v>67</v>
      </c>
      <c r="AY192" s="5"/>
    </row>
    <row r="193" spans="1:51" hidden="1" x14ac:dyDescent="0.3">
      <c r="A193">
        <v>192</v>
      </c>
      <c r="B193" s="3">
        <v>45900.644155092603</v>
      </c>
      <c r="C193" s="3">
        <v>45900.645590277803</v>
      </c>
      <c r="D193" s="4" t="s">
        <v>49</v>
      </c>
      <c r="E193" s="4" t="s">
        <v>50</v>
      </c>
      <c r="F193" s="5" t="s">
        <v>562</v>
      </c>
      <c r="G193" s="4" t="s">
        <v>132</v>
      </c>
      <c r="H193" s="2">
        <v>45879</v>
      </c>
      <c r="I193" s="4" t="s">
        <v>53</v>
      </c>
      <c r="J193" s="4" t="s">
        <v>54</v>
      </c>
      <c r="K193" s="4" t="s">
        <v>55</v>
      </c>
      <c r="L193" s="4" t="s">
        <v>70</v>
      </c>
      <c r="M193">
        <v>9</v>
      </c>
      <c r="N193">
        <v>10</v>
      </c>
      <c r="O193">
        <v>7</v>
      </c>
      <c r="P193">
        <v>6</v>
      </c>
      <c r="Q193">
        <v>11</v>
      </c>
      <c r="R193">
        <v>12</v>
      </c>
      <c r="S193">
        <v>3</v>
      </c>
      <c r="T193">
        <v>1</v>
      </c>
      <c r="U193">
        <v>2</v>
      </c>
      <c r="V193">
        <v>8</v>
      </c>
      <c r="W193">
        <v>4</v>
      </c>
      <c r="X193">
        <v>5</v>
      </c>
      <c r="Y193">
        <f>COUNTA(OfficeForms.Table[[#This Row],[elements_shelters]:[elements_restspots]])</f>
        <v>12</v>
      </c>
      <c r="Z193">
        <v>7</v>
      </c>
      <c r="AA193">
        <v>6</v>
      </c>
      <c r="AB193">
        <v>5</v>
      </c>
      <c r="AC193">
        <v>8</v>
      </c>
      <c r="AD193">
        <v>1</v>
      </c>
      <c r="AE193">
        <v>2</v>
      </c>
      <c r="AF193">
        <v>3</v>
      </c>
      <c r="AG193">
        <v>4</v>
      </c>
      <c r="AH193">
        <f>COUNTA(OfficeForms.Table[[#This Row],[pnuw_walktrails]:[pnuw_restspots]])</f>
        <v>8</v>
      </c>
      <c r="AI193" s="4" t="s">
        <v>221</v>
      </c>
      <c r="AJ193" s="4" t="s">
        <v>80</v>
      </c>
      <c r="AK193" s="4" t="s">
        <v>59</v>
      </c>
      <c r="AL193" s="4" t="s">
        <v>59</v>
      </c>
      <c r="AM193" s="4" t="s">
        <v>563</v>
      </c>
      <c r="AN193" s="4" t="s">
        <v>111</v>
      </c>
      <c r="AO193" s="4"/>
      <c r="AP193" s="4" t="s">
        <v>60</v>
      </c>
      <c r="AQ193" s="4"/>
      <c r="AR193" s="4" t="s">
        <v>111</v>
      </c>
      <c r="AS193" s="4"/>
      <c r="AT193" s="4" t="s">
        <v>63</v>
      </c>
      <c r="AU193" s="4" t="s">
        <v>64</v>
      </c>
      <c r="AV193" s="4" t="s">
        <v>65</v>
      </c>
      <c r="AW193" s="4" t="s">
        <v>83</v>
      </c>
      <c r="AX193" s="4" t="s">
        <v>67</v>
      </c>
      <c r="AY193" s="5"/>
    </row>
    <row r="194" spans="1:51" hidden="1" x14ac:dyDescent="0.3">
      <c r="A194">
        <v>193</v>
      </c>
      <c r="B194" s="3">
        <v>45900.647037037001</v>
      </c>
      <c r="C194" s="3">
        <v>45900.647094907399</v>
      </c>
      <c r="D194" s="4" t="s">
        <v>49</v>
      </c>
      <c r="E194" s="4" t="s">
        <v>50</v>
      </c>
      <c r="F194" s="5" t="s">
        <v>564</v>
      </c>
      <c r="G194" s="4" t="s">
        <v>132</v>
      </c>
      <c r="H194" s="2">
        <v>45879</v>
      </c>
      <c r="I194" s="4" t="s">
        <v>53</v>
      </c>
      <c r="J194" s="4" t="s">
        <v>85</v>
      </c>
      <c r="K194" s="4" t="s">
        <v>55</v>
      </c>
      <c r="L194" s="4" t="s">
        <v>86</v>
      </c>
      <c r="M194">
        <v>11</v>
      </c>
      <c r="N194">
        <v>3</v>
      </c>
      <c r="O194">
        <v>1</v>
      </c>
      <c r="P194">
        <v>4</v>
      </c>
      <c r="Q194">
        <v>12</v>
      </c>
      <c r="R194">
        <v>5</v>
      </c>
      <c r="S194">
        <v>7</v>
      </c>
      <c r="T194">
        <v>6</v>
      </c>
      <c r="U194">
        <v>9</v>
      </c>
      <c r="V194">
        <v>10</v>
      </c>
      <c r="W194">
        <v>2</v>
      </c>
      <c r="X194">
        <v>8</v>
      </c>
      <c r="Y194">
        <f>COUNTA(OfficeForms.Table[[#This Row],[elements_shelters]:[elements_restspots]])</f>
        <v>12</v>
      </c>
      <c r="Z194">
        <v>8</v>
      </c>
      <c r="AA194">
        <v>1</v>
      </c>
      <c r="AB194">
        <v>7</v>
      </c>
      <c r="AC194">
        <v>6</v>
      </c>
      <c r="AD194">
        <v>5</v>
      </c>
      <c r="AE194">
        <v>4</v>
      </c>
      <c r="AF194">
        <v>2</v>
      </c>
      <c r="AG194">
        <v>3</v>
      </c>
      <c r="AH194">
        <f>COUNTA(OfficeForms.Table[[#This Row],[pnuw_walktrails]:[pnuw_restspots]])</f>
        <v>8</v>
      </c>
      <c r="AI194" s="4" t="s">
        <v>565</v>
      </c>
      <c r="AJ194" s="4" t="s">
        <v>88</v>
      </c>
      <c r="AK194" s="4" t="s">
        <v>60</v>
      </c>
      <c r="AL194" s="4"/>
      <c r="AM194" s="4"/>
      <c r="AN194" s="4"/>
      <c r="AO194" s="4"/>
      <c r="AP194" s="4"/>
      <c r="AQ194" s="4"/>
      <c r="AR194" s="4"/>
      <c r="AS194" s="4"/>
      <c r="AT194" s="4" t="s">
        <v>81</v>
      </c>
      <c r="AU194" s="4" t="s">
        <v>73</v>
      </c>
      <c r="AV194" s="4" t="s">
        <v>125</v>
      </c>
      <c r="AW194" s="4" t="s">
        <v>502</v>
      </c>
      <c r="AX194" s="4" t="s">
        <v>67</v>
      </c>
      <c r="AY194" s="5"/>
    </row>
    <row r="195" spans="1:51" hidden="1" x14ac:dyDescent="0.3">
      <c r="A195">
        <v>194</v>
      </c>
      <c r="B195" s="3">
        <v>45900.6471296296</v>
      </c>
      <c r="C195" s="3">
        <v>45900.650358796302</v>
      </c>
      <c r="D195" s="4" t="s">
        <v>49</v>
      </c>
      <c r="E195" s="4" t="s">
        <v>50</v>
      </c>
      <c r="F195" s="5" t="s">
        <v>566</v>
      </c>
      <c r="G195" s="4" t="s">
        <v>132</v>
      </c>
      <c r="H195" s="2">
        <v>45879</v>
      </c>
      <c r="I195" s="4" t="s">
        <v>53</v>
      </c>
      <c r="J195" s="4" t="s">
        <v>85</v>
      </c>
      <c r="K195" s="4" t="s">
        <v>78</v>
      </c>
      <c r="L195" s="4" t="s">
        <v>86</v>
      </c>
      <c r="M195">
        <v>9</v>
      </c>
      <c r="N195">
        <v>6</v>
      </c>
      <c r="O195">
        <v>7</v>
      </c>
      <c r="P195">
        <v>10</v>
      </c>
      <c r="Q195">
        <v>11</v>
      </c>
      <c r="R195">
        <v>4</v>
      </c>
      <c r="S195">
        <v>3</v>
      </c>
      <c r="T195">
        <v>2</v>
      </c>
      <c r="U195">
        <v>8</v>
      </c>
      <c r="V195">
        <v>12</v>
      </c>
      <c r="W195">
        <v>1</v>
      </c>
      <c r="X195">
        <v>5</v>
      </c>
      <c r="Y195">
        <f>COUNTA(OfficeForms.Table[[#This Row],[elements_shelters]:[elements_restspots]])</f>
        <v>12</v>
      </c>
      <c r="Z195">
        <v>1</v>
      </c>
      <c r="AA195">
        <v>2</v>
      </c>
      <c r="AB195">
        <v>8</v>
      </c>
      <c r="AC195">
        <v>3</v>
      </c>
      <c r="AD195">
        <v>4</v>
      </c>
      <c r="AE195">
        <v>6</v>
      </c>
      <c r="AF195">
        <v>5</v>
      </c>
      <c r="AG195">
        <v>7</v>
      </c>
      <c r="AH195">
        <f>COUNTA(OfficeForms.Table[[#This Row],[pnuw_walktrails]:[pnuw_restspots]])</f>
        <v>8</v>
      </c>
      <c r="AI195" s="4" t="s">
        <v>567</v>
      </c>
      <c r="AJ195" s="4" t="s">
        <v>88</v>
      </c>
      <c r="AK195" s="4" t="s">
        <v>60</v>
      </c>
      <c r="AL195" s="4"/>
      <c r="AM195" s="4"/>
      <c r="AN195" s="4"/>
      <c r="AO195" s="4"/>
      <c r="AP195" s="4"/>
      <c r="AQ195" s="4"/>
      <c r="AR195" s="4"/>
      <c r="AS195" s="4"/>
      <c r="AT195" s="4" t="s">
        <v>63</v>
      </c>
      <c r="AU195" s="4" t="s">
        <v>73</v>
      </c>
      <c r="AV195" s="4" t="s">
        <v>125</v>
      </c>
      <c r="AW195" s="4" t="s">
        <v>502</v>
      </c>
      <c r="AX195" s="4" t="s">
        <v>502</v>
      </c>
      <c r="AY195" s="5"/>
    </row>
    <row r="196" spans="1:51" hidden="1" x14ac:dyDescent="0.3">
      <c r="A196">
        <v>195</v>
      </c>
      <c r="B196" s="3">
        <v>45900.650486111103</v>
      </c>
      <c r="C196" s="3">
        <v>45900.6514930556</v>
      </c>
      <c r="D196" s="4" t="s">
        <v>49</v>
      </c>
      <c r="E196" s="4" t="s">
        <v>50</v>
      </c>
      <c r="F196" s="5" t="s">
        <v>568</v>
      </c>
      <c r="G196" s="4" t="s">
        <v>132</v>
      </c>
      <c r="H196" s="2">
        <v>45879</v>
      </c>
      <c r="I196" s="4" t="s">
        <v>53</v>
      </c>
      <c r="J196" s="4" t="s">
        <v>54</v>
      </c>
      <c r="K196" s="4" t="s">
        <v>55</v>
      </c>
      <c r="L196" s="4" t="s">
        <v>56</v>
      </c>
      <c r="M196">
        <v>9</v>
      </c>
      <c r="N196">
        <v>1</v>
      </c>
      <c r="O196">
        <v>10</v>
      </c>
      <c r="P196">
        <v>2</v>
      </c>
      <c r="Q196">
        <v>12</v>
      </c>
      <c r="R196">
        <v>3</v>
      </c>
      <c r="S196">
        <v>4</v>
      </c>
      <c r="T196">
        <v>6</v>
      </c>
      <c r="U196">
        <v>5</v>
      </c>
      <c r="V196">
        <v>11</v>
      </c>
      <c r="W196">
        <v>7</v>
      </c>
      <c r="X196">
        <v>8</v>
      </c>
      <c r="Y196">
        <f>COUNTA(OfficeForms.Table[[#This Row],[elements_shelters]:[elements_restspots]])</f>
        <v>12</v>
      </c>
      <c r="Z196">
        <v>4</v>
      </c>
      <c r="AA196">
        <v>5</v>
      </c>
      <c r="AB196">
        <v>8</v>
      </c>
      <c r="AC196">
        <v>6</v>
      </c>
      <c r="AD196">
        <v>2</v>
      </c>
      <c r="AE196">
        <v>7</v>
      </c>
      <c r="AF196">
        <v>1</v>
      </c>
      <c r="AG196">
        <v>3</v>
      </c>
      <c r="AH196">
        <f>COUNTA(OfficeForms.Table[[#This Row],[pnuw_walktrails]:[pnuw_restspots]])</f>
        <v>8</v>
      </c>
      <c r="AI196" s="4" t="s">
        <v>117</v>
      </c>
      <c r="AJ196" s="4" t="s">
        <v>80</v>
      </c>
      <c r="AK196" s="4" t="s">
        <v>60</v>
      </c>
      <c r="AL196" s="4"/>
      <c r="AM196" s="4"/>
      <c r="AN196" s="4"/>
      <c r="AO196" s="4"/>
      <c r="AP196" s="4"/>
      <c r="AQ196" s="4"/>
      <c r="AR196" s="4"/>
      <c r="AS196" s="4"/>
      <c r="AT196" s="4" t="s">
        <v>63</v>
      </c>
      <c r="AU196" s="4" t="s">
        <v>73</v>
      </c>
      <c r="AV196" s="4" t="s">
        <v>82</v>
      </c>
      <c r="AW196" s="4" t="s">
        <v>569</v>
      </c>
      <c r="AX196" s="4" t="s">
        <v>76</v>
      </c>
      <c r="AY196" s="5"/>
    </row>
    <row r="197" spans="1:51" hidden="1" x14ac:dyDescent="0.3">
      <c r="A197">
        <v>196</v>
      </c>
      <c r="B197" s="3">
        <v>45900.651516203703</v>
      </c>
      <c r="C197" s="3">
        <v>45900.652800925898</v>
      </c>
      <c r="D197" s="4" t="s">
        <v>49</v>
      </c>
      <c r="E197" s="4" t="s">
        <v>50</v>
      </c>
      <c r="F197" s="5" t="s">
        <v>570</v>
      </c>
      <c r="G197" s="4" t="s">
        <v>132</v>
      </c>
      <c r="H197" s="2">
        <v>45879</v>
      </c>
      <c r="I197" s="4" t="s">
        <v>53</v>
      </c>
      <c r="J197" s="4" t="s">
        <v>54</v>
      </c>
      <c r="K197" s="4" t="s">
        <v>55</v>
      </c>
      <c r="L197" s="4" t="s">
        <v>56</v>
      </c>
      <c r="M197">
        <v>12</v>
      </c>
      <c r="N197">
        <v>1</v>
      </c>
      <c r="O197">
        <v>2</v>
      </c>
      <c r="P197">
        <v>3</v>
      </c>
      <c r="Q197">
        <v>11</v>
      </c>
      <c r="R197">
        <v>4</v>
      </c>
      <c r="S197">
        <v>5</v>
      </c>
      <c r="T197">
        <v>7</v>
      </c>
      <c r="U197">
        <v>6</v>
      </c>
      <c r="V197">
        <v>10</v>
      </c>
      <c r="W197">
        <v>8</v>
      </c>
      <c r="X197">
        <v>9</v>
      </c>
      <c r="Y197">
        <f>COUNTA(OfficeForms.Table[[#This Row],[elements_shelters]:[elements_restspots]])</f>
        <v>12</v>
      </c>
      <c r="Z197">
        <v>1</v>
      </c>
      <c r="AA197">
        <v>2</v>
      </c>
      <c r="AB197">
        <v>8</v>
      </c>
      <c r="AC197">
        <v>6</v>
      </c>
      <c r="AD197">
        <v>3</v>
      </c>
      <c r="AE197">
        <v>7</v>
      </c>
      <c r="AF197">
        <v>4</v>
      </c>
      <c r="AG197">
        <v>5</v>
      </c>
      <c r="AH197">
        <f>COUNTA(OfficeForms.Table[[#This Row],[pnuw_walktrails]:[pnuw_restspots]])</f>
        <v>8</v>
      </c>
      <c r="AI197" s="4" t="s">
        <v>117</v>
      </c>
      <c r="AJ197" s="4" t="s">
        <v>80</v>
      </c>
      <c r="AK197" s="4" t="s">
        <v>59</v>
      </c>
      <c r="AL197" s="4" t="s">
        <v>60</v>
      </c>
      <c r="AM197" s="4"/>
      <c r="AN197" s="4" t="s">
        <v>111</v>
      </c>
      <c r="AO197" s="4"/>
      <c r="AP197" s="4" t="s">
        <v>59</v>
      </c>
      <c r="AQ197" s="4" t="s">
        <v>571</v>
      </c>
      <c r="AR197" s="4" t="s">
        <v>111</v>
      </c>
      <c r="AS197" s="4"/>
      <c r="AT197" s="4" t="s">
        <v>81</v>
      </c>
      <c r="AU197" s="4" t="s">
        <v>64</v>
      </c>
      <c r="AV197" s="4" t="s">
        <v>82</v>
      </c>
      <c r="AW197" s="4" t="s">
        <v>569</v>
      </c>
      <c r="AX197" s="4" t="s">
        <v>76</v>
      </c>
      <c r="AY197" s="5"/>
    </row>
    <row r="198" spans="1:51" hidden="1" x14ac:dyDescent="0.3">
      <c r="A198">
        <v>197</v>
      </c>
      <c r="B198" s="3">
        <v>45900.652824074103</v>
      </c>
      <c r="C198" s="3">
        <v>45900.6541782407</v>
      </c>
      <c r="D198" s="4" t="s">
        <v>49</v>
      </c>
      <c r="E198" s="4" t="s">
        <v>50</v>
      </c>
      <c r="F198" s="5" t="s">
        <v>572</v>
      </c>
      <c r="G198" s="4" t="s">
        <v>132</v>
      </c>
      <c r="H198" s="2">
        <v>45879</v>
      </c>
      <c r="I198" s="4" t="s">
        <v>53</v>
      </c>
      <c r="J198" s="4" t="s">
        <v>85</v>
      </c>
      <c r="K198" s="4" t="s">
        <v>78</v>
      </c>
      <c r="L198" s="4" t="s">
        <v>86</v>
      </c>
      <c r="M198">
        <v>3</v>
      </c>
      <c r="N198">
        <v>2</v>
      </c>
      <c r="O198">
        <v>7</v>
      </c>
      <c r="P198">
        <v>6</v>
      </c>
      <c r="Q198">
        <v>12</v>
      </c>
      <c r="R198">
        <v>1</v>
      </c>
      <c r="S198">
        <v>11</v>
      </c>
      <c r="T198">
        <v>10</v>
      </c>
      <c r="U198">
        <v>9</v>
      </c>
      <c r="V198">
        <v>8</v>
      </c>
      <c r="W198">
        <v>4</v>
      </c>
      <c r="X198">
        <v>5</v>
      </c>
      <c r="Y198">
        <f>COUNTA(OfficeForms.Table[[#This Row],[elements_shelters]:[elements_restspots]])</f>
        <v>12</v>
      </c>
      <c r="Z198">
        <v>4</v>
      </c>
      <c r="AA198">
        <v>5</v>
      </c>
      <c r="AB198">
        <v>1</v>
      </c>
      <c r="AC198">
        <v>3</v>
      </c>
      <c r="AD198">
        <v>6</v>
      </c>
      <c r="AE198">
        <v>8</v>
      </c>
      <c r="AF198">
        <v>7</v>
      </c>
      <c r="AG198">
        <v>2</v>
      </c>
      <c r="AH198">
        <f>COUNTA(OfficeForms.Table[[#This Row],[pnuw_walktrails]:[pnuw_restspots]])</f>
        <v>8</v>
      </c>
      <c r="AI198" s="4" t="s">
        <v>573</v>
      </c>
      <c r="AJ198" s="4" t="s">
        <v>88</v>
      </c>
      <c r="AK198" s="4" t="s">
        <v>59</v>
      </c>
      <c r="AL198" s="4" t="s">
        <v>59</v>
      </c>
      <c r="AM198" s="4" t="s">
        <v>574</v>
      </c>
      <c r="AN198" s="4" t="s">
        <v>61</v>
      </c>
      <c r="AO198" s="4"/>
      <c r="AP198" s="4" t="s">
        <v>59</v>
      </c>
      <c r="AQ198" s="4" t="s">
        <v>574</v>
      </c>
      <c r="AR198" s="4" t="s">
        <v>61</v>
      </c>
      <c r="AS198" s="4"/>
      <c r="AT198" s="4" t="s">
        <v>81</v>
      </c>
      <c r="AU198" s="4" t="s">
        <v>64</v>
      </c>
      <c r="AV198" s="4" t="s">
        <v>65</v>
      </c>
      <c r="AW198" s="4" t="s">
        <v>95</v>
      </c>
      <c r="AX198" s="4" t="s">
        <v>95</v>
      </c>
      <c r="AY198" s="5"/>
    </row>
    <row r="199" spans="1:51" hidden="1" x14ac:dyDescent="0.3">
      <c r="A199">
        <v>198</v>
      </c>
      <c r="B199" s="3">
        <v>45900.654189814799</v>
      </c>
      <c r="C199" s="3">
        <v>45900.655509259297</v>
      </c>
      <c r="D199" s="4" t="s">
        <v>49</v>
      </c>
      <c r="E199" s="4" t="s">
        <v>50</v>
      </c>
      <c r="F199" s="5" t="s">
        <v>575</v>
      </c>
      <c r="G199" s="4" t="s">
        <v>132</v>
      </c>
      <c r="H199" s="2">
        <v>45879</v>
      </c>
      <c r="I199" s="4" t="s">
        <v>53</v>
      </c>
      <c r="J199" s="4" t="s">
        <v>85</v>
      </c>
      <c r="K199" s="4" t="s">
        <v>78</v>
      </c>
      <c r="L199" s="4" t="s">
        <v>86</v>
      </c>
      <c r="M199">
        <v>7</v>
      </c>
      <c r="N199">
        <v>4</v>
      </c>
      <c r="O199">
        <v>5</v>
      </c>
      <c r="P199">
        <v>6</v>
      </c>
      <c r="Q199">
        <v>12</v>
      </c>
      <c r="R199">
        <v>8</v>
      </c>
      <c r="S199">
        <v>1</v>
      </c>
      <c r="T199">
        <v>3</v>
      </c>
      <c r="U199">
        <v>2</v>
      </c>
      <c r="V199">
        <v>9</v>
      </c>
      <c r="W199">
        <v>10</v>
      </c>
      <c r="X199">
        <v>11</v>
      </c>
      <c r="Y199">
        <f>COUNTA(OfficeForms.Table[[#This Row],[elements_shelters]:[elements_restspots]])</f>
        <v>12</v>
      </c>
      <c r="Z199">
        <v>1</v>
      </c>
      <c r="AA199">
        <v>6</v>
      </c>
      <c r="AB199">
        <v>2</v>
      </c>
      <c r="AC199">
        <v>3</v>
      </c>
      <c r="AD199">
        <v>4</v>
      </c>
      <c r="AE199">
        <v>8</v>
      </c>
      <c r="AF199">
        <v>5</v>
      </c>
      <c r="AG199">
        <v>7</v>
      </c>
      <c r="AH199">
        <f>COUNTA(OfficeForms.Table[[#This Row],[pnuw_walktrails]:[pnuw_restspots]])</f>
        <v>8</v>
      </c>
      <c r="AI199" s="4" t="s">
        <v>576</v>
      </c>
      <c r="AJ199" s="4" t="s">
        <v>58</v>
      </c>
      <c r="AK199" s="4" t="s">
        <v>59</v>
      </c>
      <c r="AL199" s="4" t="s">
        <v>59</v>
      </c>
      <c r="AM199" s="4" t="s">
        <v>232</v>
      </c>
      <c r="AN199" s="4" t="s">
        <v>61</v>
      </c>
      <c r="AO199" s="4"/>
      <c r="AP199" s="4" t="s">
        <v>59</v>
      </c>
      <c r="AQ199" s="4" t="s">
        <v>577</v>
      </c>
      <c r="AR199" s="4" t="s">
        <v>61</v>
      </c>
      <c r="AS199" s="4"/>
      <c r="AT199" s="4" t="s">
        <v>81</v>
      </c>
      <c r="AU199" s="4" t="s">
        <v>73</v>
      </c>
      <c r="AV199" s="4" t="s">
        <v>74</v>
      </c>
      <c r="AW199" s="4" t="s">
        <v>578</v>
      </c>
      <c r="AX199" s="4" t="s">
        <v>96</v>
      </c>
      <c r="AY199" s="5"/>
    </row>
    <row r="200" spans="1:51" hidden="1" x14ac:dyDescent="0.3">
      <c r="A200">
        <v>199</v>
      </c>
      <c r="B200" s="3">
        <v>45900.655520833301</v>
      </c>
      <c r="C200" s="3">
        <v>45900.656597222202</v>
      </c>
      <c r="D200" s="4" t="s">
        <v>49</v>
      </c>
      <c r="E200" s="4" t="s">
        <v>50</v>
      </c>
      <c r="F200" s="5" t="s">
        <v>579</v>
      </c>
      <c r="G200" s="4" t="s">
        <v>132</v>
      </c>
      <c r="H200" s="2">
        <v>45879</v>
      </c>
      <c r="I200" s="4" t="s">
        <v>53</v>
      </c>
      <c r="J200" s="4" t="s">
        <v>54</v>
      </c>
      <c r="K200" s="4" t="s">
        <v>78</v>
      </c>
      <c r="L200" s="4" t="s">
        <v>56</v>
      </c>
      <c r="M200">
        <v>7</v>
      </c>
      <c r="N200">
        <v>2</v>
      </c>
      <c r="O200">
        <v>4</v>
      </c>
      <c r="P200">
        <v>1</v>
      </c>
      <c r="Q200">
        <v>11</v>
      </c>
      <c r="R200">
        <v>5</v>
      </c>
      <c r="S200">
        <v>10</v>
      </c>
      <c r="T200">
        <v>9</v>
      </c>
      <c r="U200">
        <v>8</v>
      </c>
      <c r="V200">
        <v>12</v>
      </c>
      <c r="W200">
        <v>6</v>
      </c>
      <c r="X200">
        <v>3</v>
      </c>
      <c r="Y200">
        <f>COUNTA(OfficeForms.Table[[#This Row],[elements_shelters]:[elements_restspots]])</f>
        <v>12</v>
      </c>
      <c r="Z200">
        <v>2</v>
      </c>
      <c r="AA200">
        <v>6</v>
      </c>
      <c r="AB200">
        <v>1</v>
      </c>
      <c r="AC200">
        <v>3</v>
      </c>
      <c r="AD200">
        <v>7</v>
      </c>
      <c r="AE200">
        <v>8</v>
      </c>
      <c r="AF200">
        <v>4</v>
      </c>
      <c r="AG200">
        <v>5</v>
      </c>
      <c r="AH200">
        <f>COUNTA(OfficeForms.Table[[#This Row],[pnuw_walktrails]:[pnuw_restspots]])</f>
        <v>8</v>
      </c>
      <c r="AI200" s="4" t="s">
        <v>117</v>
      </c>
      <c r="AJ200" s="4" t="s">
        <v>80</v>
      </c>
      <c r="AK200" s="4" t="s">
        <v>60</v>
      </c>
      <c r="AL200" s="4"/>
      <c r="AM200" s="4"/>
      <c r="AN200" s="4"/>
      <c r="AO200" s="4"/>
      <c r="AP200" s="4"/>
      <c r="AQ200" s="4"/>
      <c r="AR200" s="4"/>
      <c r="AS200" s="4"/>
      <c r="AT200" s="4" t="s">
        <v>63</v>
      </c>
      <c r="AU200" s="4" t="s">
        <v>73</v>
      </c>
      <c r="AV200" s="4" t="s">
        <v>74</v>
      </c>
      <c r="AW200" s="4" t="s">
        <v>580</v>
      </c>
      <c r="AX200" s="4" t="s">
        <v>67</v>
      </c>
      <c r="AY200" s="5"/>
    </row>
    <row r="201" spans="1:51" hidden="1" x14ac:dyDescent="0.3">
      <c r="A201">
        <v>200</v>
      </c>
      <c r="B201" s="3">
        <v>45919.4666319444</v>
      </c>
      <c r="C201" s="3">
        <v>45919.483680555597</v>
      </c>
      <c r="D201" s="4" t="s">
        <v>49</v>
      </c>
      <c r="E201" s="4" t="s">
        <v>50</v>
      </c>
      <c r="F201" s="5" t="s">
        <v>581</v>
      </c>
      <c r="G201" s="4" t="s">
        <v>52</v>
      </c>
      <c r="H201" s="2">
        <v>45914</v>
      </c>
      <c r="I201" s="4" t="s">
        <v>53</v>
      </c>
      <c r="J201" s="4" t="s">
        <v>69</v>
      </c>
      <c r="K201" s="4" t="s">
        <v>215</v>
      </c>
      <c r="L201" s="4" t="s">
        <v>56</v>
      </c>
      <c r="M201">
        <v>3</v>
      </c>
      <c r="N201">
        <v>2</v>
      </c>
      <c r="O201">
        <v>1</v>
      </c>
      <c r="P201">
        <v>8</v>
      </c>
      <c r="Q201">
        <v>9</v>
      </c>
      <c r="R201">
        <v>12</v>
      </c>
      <c r="S201">
        <v>10</v>
      </c>
      <c r="T201">
        <v>4</v>
      </c>
      <c r="U201">
        <v>5</v>
      </c>
      <c r="V201">
        <v>6</v>
      </c>
      <c r="W201">
        <v>7</v>
      </c>
      <c r="X201">
        <v>11</v>
      </c>
      <c r="Y201">
        <f>COUNTA(OfficeForms.Table[[#This Row],[elements_shelters]:[elements_restspots]])</f>
        <v>12</v>
      </c>
      <c r="Z201">
        <v>8</v>
      </c>
      <c r="AA201">
        <v>7</v>
      </c>
      <c r="AB201">
        <v>2</v>
      </c>
      <c r="AC201">
        <v>1</v>
      </c>
      <c r="AD201">
        <v>6</v>
      </c>
      <c r="AE201">
        <v>3</v>
      </c>
      <c r="AF201">
        <v>4</v>
      </c>
      <c r="AG201">
        <v>3</v>
      </c>
      <c r="AH201">
        <f>COUNTA(OfficeForms.Table[[#This Row],[pnuw_walktrails]:[pnuw_restspots]])</f>
        <v>8</v>
      </c>
      <c r="AI201" s="4" t="s">
        <v>117</v>
      </c>
      <c r="AJ201" s="4" t="s">
        <v>58</v>
      </c>
      <c r="AK201" s="4" t="s">
        <v>59</v>
      </c>
      <c r="AL201" s="4" t="s">
        <v>59</v>
      </c>
      <c r="AM201" s="4"/>
      <c r="AN201" s="4" t="s">
        <v>270</v>
      </c>
      <c r="AO201" s="4" t="s">
        <v>582</v>
      </c>
      <c r="AP201" s="4" t="s">
        <v>59</v>
      </c>
      <c r="AQ201" s="4" t="s">
        <v>343</v>
      </c>
      <c r="AR201" s="4" t="s">
        <v>174</v>
      </c>
      <c r="AS201" s="4"/>
      <c r="AT201" s="4" t="s">
        <v>63</v>
      </c>
      <c r="AU201" s="4" t="s">
        <v>73</v>
      </c>
      <c r="AV201" s="4" t="s">
        <v>99</v>
      </c>
      <c r="AW201" s="4" t="s">
        <v>583</v>
      </c>
      <c r="AX201" s="4" t="s">
        <v>76</v>
      </c>
      <c r="AY201" s="5"/>
    </row>
    <row r="202" spans="1:51" hidden="1" x14ac:dyDescent="0.3">
      <c r="A202">
        <v>201</v>
      </c>
      <c r="B202" s="3">
        <v>45919.483726851897</v>
      </c>
      <c r="C202" s="3">
        <v>45919.485347222202</v>
      </c>
      <c r="D202" s="4" t="s">
        <v>49</v>
      </c>
      <c r="E202" s="4" t="s">
        <v>50</v>
      </c>
      <c r="F202" s="5" t="s">
        <v>584</v>
      </c>
      <c r="G202" s="4" t="s">
        <v>52</v>
      </c>
      <c r="H202" s="2">
        <v>45914</v>
      </c>
      <c r="I202" s="4" t="s">
        <v>53</v>
      </c>
      <c r="J202" s="4" t="s">
        <v>54</v>
      </c>
      <c r="K202" s="4" t="s">
        <v>103</v>
      </c>
      <c r="L202" s="4" t="s">
        <v>56</v>
      </c>
      <c r="M202">
        <v>12</v>
      </c>
      <c r="N202">
        <v>9</v>
      </c>
      <c r="O202">
        <v>10</v>
      </c>
      <c r="P202">
        <v>11</v>
      </c>
      <c r="Q202">
        <v>1</v>
      </c>
      <c r="R202">
        <v>2</v>
      </c>
      <c r="S202">
        <v>8</v>
      </c>
      <c r="T202">
        <v>7</v>
      </c>
      <c r="U202">
        <v>6</v>
      </c>
      <c r="V202">
        <v>3</v>
      </c>
      <c r="W202">
        <v>4</v>
      </c>
      <c r="X202">
        <v>5</v>
      </c>
      <c r="Y202">
        <f>COUNTA(OfficeForms.Table[[#This Row],[elements_shelters]:[elements_restspots]])</f>
        <v>12</v>
      </c>
      <c r="Z202">
        <v>1</v>
      </c>
      <c r="AA202">
        <v>7</v>
      </c>
      <c r="AB202">
        <v>6</v>
      </c>
      <c r="AC202">
        <v>8</v>
      </c>
      <c r="AD202">
        <v>2</v>
      </c>
      <c r="AE202">
        <v>4</v>
      </c>
      <c r="AF202">
        <v>5</v>
      </c>
      <c r="AG202">
        <v>3</v>
      </c>
      <c r="AH202">
        <f>COUNTA(OfficeForms.Table[[#This Row],[pnuw_walktrails]:[pnuw_restspots]])</f>
        <v>8</v>
      </c>
      <c r="AI202" s="4" t="s">
        <v>382</v>
      </c>
      <c r="AJ202" s="4" t="s">
        <v>80</v>
      </c>
      <c r="AK202" s="4" t="s">
        <v>60</v>
      </c>
      <c r="AL202" s="4"/>
      <c r="AM202" s="4"/>
      <c r="AN202" s="4"/>
      <c r="AO202" s="4"/>
      <c r="AP202" s="4"/>
      <c r="AQ202" s="4"/>
      <c r="AR202" s="4"/>
      <c r="AS202" s="4"/>
      <c r="AT202" s="4" t="s">
        <v>81</v>
      </c>
      <c r="AU202" s="4" t="s">
        <v>73</v>
      </c>
      <c r="AV202" s="4" t="s">
        <v>74</v>
      </c>
      <c r="AW202" s="4" t="s">
        <v>585</v>
      </c>
      <c r="AX202" s="4" t="s">
        <v>76</v>
      </c>
      <c r="AY202" s="5"/>
    </row>
    <row r="203" spans="1:51" hidden="1" x14ac:dyDescent="0.3">
      <c r="A203">
        <v>202</v>
      </c>
      <c r="B203" s="3">
        <v>45919.485370370399</v>
      </c>
      <c r="C203" s="3">
        <v>45919.486782407403</v>
      </c>
      <c r="D203" s="4" t="s">
        <v>49</v>
      </c>
      <c r="E203" s="4" t="s">
        <v>50</v>
      </c>
      <c r="F203" s="5" t="s">
        <v>586</v>
      </c>
      <c r="G203" s="4" t="s">
        <v>52</v>
      </c>
      <c r="H203" s="2">
        <v>45913</v>
      </c>
      <c r="I203" s="4" t="s">
        <v>53</v>
      </c>
      <c r="J203" s="4" t="s">
        <v>85</v>
      </c>
      <c r="K203" s="4" t="s">
        <v>55</v>
      </c>
      <c r="L203" s="4" t="s">
        <v>70</v>
      </c>
      <c r="M203">
        <v>11</v>
      </c>
      <c r="N203">
        <v>12</v>
      </c>
      <c r="O203">
        <v>2</v>
      </c>
      <c r="P203">
        <v>1</v>
      </c>
      <c r="Q203">
        <v>3</v>
      </c>
      <c r="R203">
        <v>4</v>
      </c>
      <c r="S203">
        <v>5</v>
      </c>
      <c r="T203">
        <v>6</v>
      </c>
      <c r="U203">
        <v>7</v>
      </c>
      <c r="V203">
        <v>8</v>
      </c>
      <c r="W203">
        <v>9</v>
      </c>
      <c r="X203">
        <v>10</v>
      </c>
      <c r="Y203">
        <f>COUNTA(OfficeForms.Table[[#This Row],[elements_shelters]:[elements_restspots]])</f>
        <v>12</v>
      </c>
      <c r="Z203">
        <v>8</v>
      </c>
      <c r="AA203">
        <v>7</v>
      </c>
      <c r="AB203">
        <v>6</v>
      </c>
      <c r="AC203">
        <v>1</v>
      </c>
      <c r="AD203">
        <v>3</v>
      </c>
      <c r="AE203">
        <v>4</v>
      </c>
      <c r="AF203">
        <v>5</v>
      </c>
      <c r="AG203">
        <v>2</v>
      </c>
      <c r="AH203">
        <f>COUNTA(OfficeForms.Table[[#This Row],[pnuw_walktrails]:[pnuw_restspots]])</f>
        <v>8</v>
      </c>
      <c r="AI203" s="4" t="s">
        <v>117</v>
      </c>
      <c r="AJ203" s="4" t="s">
        <v>72</v>
      </c>
      <c r="AK203" s="4" t="s">
        <v>60</v>
      </c>
      <c r="AL203" s="4"/>
      <c r="AM203" s="4"/>
      <c r="AN203" s="4"/>
      <c r="AO203" s="4"/>
      <c r="AP203" s="4"/>
      <c r="AQ203" s="4"/>
      <c r="AR203" s="4"/>
      <c r="AS203" s="4"/>
      <c r="AT203" s="4" t="s">
        <v>81</v>
      </c>
      <c r="AU203" s="4" t="s">
        <v>64</v>
      </c>
      <c r="AV203" s="4" t="s">
        <v>74</v>
      </c>
      <c r="AW203" s="4" t="s">
        <v>75</v>
      </c>
      <c r="AX203" s="4" t="s">
        <v>76</v>
      </c>
      <c r="AY203" s="5"/>
    </row>
    <row r="204" spans="1:51" hidden="1" x14ac:dyDescent="0.3">
      <c r="A204">
        <v>203</v>
      </c>
      <c r="B204" s="3">
        <v>45919.486863425896</v>
      </c>
      <c r="C204" s="3">
        <v>45919.488587963002</v>
      </c>
      <c r="D204" s="4" t="s">
        <v>49</v>
      </c>
      <c r="E204" s="4" t="s">
        <v>50</v>
      </c>
      <c r="F204" s="5" t="s">
        <v>587</v>
      </c>
      <c r="G204" s="4" t="s">
        <v>52</v>
      </c>
      <c r="H204" s="2">
        <v>45913</v>
      </c>
      <c r="I204" s="4" t="s">
        <v>53</v>
      </c>
      <c r="J204" s="4" t="s">
        <v>85</v>
      </c>
      <c r="K204" s="4" t="s">
        <v>78</v>
      </c>
      <c r="L204" s="4" t="s">
        <v>70</v>
      </c>
      <c r="M204">
        <v>12</v>
      </c>
      <c r="N204">
        <v>10</v>
      </c>
      <c r="O204">
        <v>11</v>
      </c>
      <c r="P204">
        <v>5</v>
      </c>
      <c r="Q204">
        <v>4</v>
      </c>
      <c r="R204">
        <v>3</v>
      </c>
      <c r="S204">
        <v>9</v>
      </c>
      <c r="T204">
        <v>8</v>
      </c>
      <c r="U204">
        <v>6</v>
      </c>
      <c r="V204">
        <v>7</v>
      </c>
      <c r="W204">
        <v>2</v>
      </c>
      <c r="X204">
        <v>1</v>
      </c>
      <c r="Y204">
        <f>COUNTA(OfficeForms.Table[[#This Row],[elements_shelters]:[elements_restspots]])</f>
        <v>12</v>
      </c>
      <c r="Z204">
        <v>6</v>
      </c>
      <c r="AA204">
        <v>5</v>
      </c>
      <c r="AB204">
        <v>7</v>
      </c>
      <c r="AC204">
        <v>8</v>
      </c>
      <c r="AD204">
        <v>1</v>
      </c>
      <c r="AE204">
        <v>3</v>
      </c>
      <c r="AF204">
        <v>2</v>
      </c>
      <c r="AG204">
        <v>4</v>
      </c>
      <c r="AH204">
        <f>COUNTA(OfficeForms.Table[[#This Row],[pnuw_walktrails]:[pnuw_restspots]])</f>
        <v>8</v>
      </c>
      <c r="AI204" s="4" t="s">
        <v>117</v>
      </c>
      <c r="AJ204" s="4" t="s">
        <v>58</v>
      </c>
      <c r="AK204" s="4" t="s">
        <v>59</v>
      </c>
      <c r="AL204" s="4" t="s">
        <v>60</v>
      </c>
      <c r="AM204" s="4"/>
      <c r="AN204" s="4" t="s">
        <v>174</v>
      </c>
      <c r="AO204" s="4"/>
      <c r="AP204" s="4" t="s">
        <v>59</v>
      </c>
      <c r="AQ204" s="4" t="s">
        <v>343</v>
      </c>
      <c r="AR204" s="4" t="s">
        <v>174</v>
      </c>
      <c r="AS204" s="4"/>
      <c r="AT204" s="4" t="s">
        <v>63</v>
      </c>
      <c r="AU204" s="4" t="s">
        <v>73</v>
      </c>
      <c r="AV204" s="4" t="s">
        <v>82</v>
      </c>
      <c r="AW204" s="4" t="s">
        <v>144</v>
      </c>
      <c r="AX204" s="4" t="s">
        <v>144</v>
      </c>
      <c r="AY204" s="5"/>
    </row>
    <row r="205" spans="1:51" hidden="1" x14ac:dyDescent="0.3">
      <c r="A205">
        <v>204</v>
      </c>
      <c r="B205" s="3">
        <v>45919.488611111097</v>
      </c>
      <c r="C205" s="3">
        <v>45919.489884259303</v>
      </c>
      <c r="D205" s="4" t="s">
        <v>49</v>
      </c>
      <c r="E205" s="4" t="s">
        <v>50</v>
      </c>
      <c r="F205" s="5" t="s">
        <v>588</v>
      </c>
      <c r="G205" s="4" t="s">
        <v>52</v>
      </c>
      <c r="H205" s="2">
        <v>45913</v>
      </c>
      <c r="I205" s="4" t="s">
        <v>53</v>
      </c>
      <c r="J205" s="4" t="s">
        <v>85</v>
      </c>
      <c r="K205" s="4" t="s">
        <v>55</v>
      </c>
      <c r="L205" s="4" t="s">
        <v>56</v>
      </c>
      <c r="M205">
        <v>12</v>
      </c>
      <c r="N205">
        <v>1</v>
      </c>
      <c r="O205">
        <v>11</v>
      </c>
      <c r="P205">
        <v>10</v>
      </c>
      <c r="Q205">
        <v>9</v>
      </c>
      <c r="R205">
        <v>8</v>
      </c>
      <c r="S205">
        <v>4</v>
      </c>
      <c r="T205">
        <v>3</v>
      </c>
      <c r="U205">
        <v>2</v>
      </c>
      <c r="V205">
        <v>7</v>
      </c>
      <c r="W205">
        <v>6</v>
      </c>
      <c r="X205">
        <v>5</v>
      </c>
      <c r="Y205">
        <f>COUNTA(OfficeForms.Table[[#This Row],[elements_shelters]:[elements_restspots]])</f>
        <v>12</v>
      </c>
      <c r="Z205">
        <v>7</v>
      </c>
      <c r="AA205">
        <v>8</v>
      </c>
      <c r="AB205">
        <v>6</v>
      </c>
      <c r="AC205">
        <v>5</v>
      </c>
      <c r="AD205">
        <v>1</v>
      </c>
      <c r="AE205">
        <v>3</v>
      </c>
      <c r="AF205">
        <v>2</v>
      </c>
      <c r="AG205">
        <v>4</v>
      </c>
      <c r="AH205">
        <f>COUNTA(OfficeForms.Table[[#This Row],[pnuw_walktrails]:[pnuw_restspots]])</f>
        <v>8</v>
      </c>
      <c r="AI205" s="4" t="s">
        <v>117</v>
      </c>
      <c r="AJ205" s="4" t="s">
        <v>72</v>
      </c>
      <c r="AK205" s="4" t="s">
        <v>60</v>
      </c>
      <c r="AL205" s="4"/>
      <c r="AM205" s="4"/>
      <c r="AN205" s="4"/>
      <c r="AO205" s="4"/>
      <c r="AP205" s="4"/>
      <c r="AQ205" s="4"/>
      <c r="AR205" s="4"/>
      <c r="AS205" s="4"/>
      <c r="AT205" s="4" t="s">
        <v>81</v>
      </c>
      <c r="AU205" s="4" t="s">
        <v>73</v>
      </c>
      <c r="AV205" s="4" t="s">
        <v>82</v>
      </c>
      <c r="AW205" s="4" t="s">
        <v>83</v>
      </c>
      <c r="AX205" s="4" t="s">
        <v>67</v>
      </c>
      <c r="AY205" s="5"/>
    </row>
    <row r="206" spans="1:51" hidden="1" x14ac:dyDescent="0.3">
      <c r="A206">
        <v>205</v>
      </c>
      <c r="B206" s="3">
        <v>45919.490023148101</v>
      </c>
      <c r="C206" s="3">
        <v>45919.491504629601</v>
      </c>
      <c r="D206" s="4" t="s">
        <v>49</v>
      </c>
      <c r="E206" s="4" t="s">
        <v>50</v>
      </c>
      <c r="F206" s="5" t="s">
        <v>589</v>
      </c>
      <c r="G206" s="4" t="s">
        <v>52</v>
      </c>
      <c r="H206" s="2">
        <v>45913</v>
      </c>
      <c r="I206" s="4" t="s">
        <v>53</v>
      </c>
      <c r="J206" s="4" t="s">
        <v>69</v>
      </c>
      <c r="K206" s="4" t="s">
        <v>78</v>
      </c>
      <c r="L206" s="4" t="s">
        <v>70</v>
      </c>
      <c r="M206">
        <v>10</v>
      </c>
      <c r="N206">
        <v>6</v>
      </c>
      <c r="O206">
        <v>7</v>
      </c>
      <c r="P206">
        <v>8</v>
      </c>
      <c r="Q206">
        <v>9</v>
      </c>
      <c r="R206">
        <v>1</v>
      </c>
      <c r="S206">
        <v>12</v>
      </c>
      <c r="T206">
        <v>5</v>
      </c>
      <c r="U206">
        <v>9</v>
      </c>
      <c r="V206">
        <v>11</v>
      </c>
      <c r="W206">
        <v>3</v>
      </c>
      <c r="X206">
        <v>2</v>
      </c>
      <c r="Y206">
        <f>COUNTA(OfficeForms.Table[[#This Row],[elements_shelters]:[elements_restspots]])</f>
        <v>12</v>
      </c>
      <c r="Z206">
        <v>6</v>
      </c>
      <c r="AA206">
        <v>7</v>
      </c>
      <c r="AB206">
        <v>8</v>
      </c>
      <c r="AC206">
        <v>5</v>
      </c>
      <c r="AD206">
        <v>1</v>
      </c>
      <c r="AE206">
        <v>2</v>
      </c>
      <c r="AF206">
        <v>3</v>
      </c>
      <c r="AG206">
        <v>4</v>
      </c>
      <c r="AH206">
        <f>COUNTA(OfficeForms.Table[[#This Row],[pnuw_walktrails]:[pnuw_restspots]])</f>
        <v>8</v>
      </c>
      <c r="AI206" s="4" t="s">
        <v>590</v>
      </c>
      <c r="AJ206" s="4" t="s">
        <v>72</v>
      </c>
      <c r="AK206" s="4" t="s">
        <v>60</v>
      </c>
      <c r="AL206" s="4"/>
      <c r="AM206" s="4"/>
      <c r="AN206" s="4"/>
      <c r="AO206" s="4"/>
      <c r="AP206" s="4"/>
      <c r="AQ206" s="4"/>
      <c r="AR206" s="4"/>
      <c r="AS206" s="4"/>
      <c r="AT206" s="4" t="s">
        <v>81</v>
      </c>
      <c r="AU206" s="4" t="s">
        <v>73</v>
      </c>
      <c r="AV206" s="4" t="s">
        <v>82</v>
      </c>
      <c r="AW206" s="4" t="s">
        <v>83</v>
      </c>
      <c r="AX206" s="4" t="s">
        <v>67</v>
      </c>
      <c r="AY206" s="5"/>
    </row>
    <row r="207" spans="1:51" hidden="1" x14ac:dyDescent="0.3">
      <c r="A207">
        <v>206</v>
      </c>
      <c r="B207" s="3">
        <v>45919.4915162037</v>
      </c>
      <c r="C207" s="3">
        <v>45919.493159722202</v>
      </c>
      <c r="D207" s="4" t="s">
        <v>49</v>
      </c>
      <c r="E207" s="4" t="s">
        <v>50</v>
      </c>
      <c r="F207" s="5" t="s">
        <v>591</v>
      </c>
      <c r="G207" s="4" t="s">
        <v>52</v>
      </c>
      <c r="H207" s="2">
        <v>45913</v>
      </c>
      <c r="I207" s="4" t="s">
        <v>53</v>
      </c>
      <c r="J207" s="4" t="s">
        <v>85</v>
      </c>
      <c r="K207" s="4" t="s">
        <v>215</v>
      </c>
      <c r="L207" s="4" t="s">
        <v>70</v>
      </c>
      <c r="M207">
        <v>11</v>
      </c>
      <c r="N207">
        <v>1</v>
      </c>
      <c r="O207">
        <v>8</v>
      </c>
      <c r="P207">
        <v>10</v>
      </c>
      <c r="Q207">
        <v>11</v>
      </c>
      <c r="R207">
        <v>9</v>
      </c>
      <c r="S207">
        <v>4</v>
      </c>
      <c r="T207">
        <v>6</v>
      </c>
      <c r="U207">
        <v>5</v>
      </c>
      <c r="V207">
        <v>7</v>
      </c>
      <c r="W207">
        <v>2</v>
      </c>
      <c r="X207">
        <v>3</v>
      </c>
      <c r="Y207">
        <f>COUNTA(OfficeForms.Table[[#This Row],[elements_shelters]:[elements_restspots]])</f>
        <v>12</v>
      </c>
      <c r="Z207">
        <v>6</v>
      </c>
      <c r="AA207">
        <v>7</v>
      </c>
      <c r="AB207">
        <v>8</v>
      </c>
      <c r="AC207">
        <v>3</v>
      </c>
      <c r="AD207">
        <v>1</v>
      </c>
      <c r="AE207">
        <v>5</v>
      </c>
      <c r="AF207">
        <v>4</v>
      </c>
      <c r="AG207">
        <v>2</v>
      </c>
      <c r="AH207">
        <f>COUNTA(OfficeForms.Table[[#This Row],[pnuw_walktrails]:[pnuw_restspots]])</f>
        <v>8</v>
      </c>
      <c r="AI207" s="4" t="s">
        <v>117</v>
      </c>
      <c r="AJ207" s="4" t="s">
        <v>72</v>
      </c>
      <c r="AK207" s="4" t="s">
        <v>60</v>
      </c>
      <c r="AL207" s="4"/>
      <c r="AM207" s="4"/>
      <c r="AN207" s="4"/>
      <c r="AO207" s="4"/>
      <c r="AP207" s="4"/>
      <c r="AQ207" s="4"/>
      <c r="AR207" s="4"/>
      <c r="AS207" s="4"/>
      <c r="AT207" s="4" t="s">
        <v>63</v>
      </c>
      <c r="AU207" s="4" t="s">
        <v>73</v>
      </c>
      <c r="AV207" s="4" t="s">
        <v>99</v>
      </c>
      <c r="AW207" s="4" t="s">
        <v>291</v>
      </c>
      <c r="AX207" s="4" t="s">
        <v>291</v>
      </c>
      <c r="AY207" s="5"/>
    </row>
    <row r="208" spans="1:51" hidden="1" x14ac:dyDescent="0.3">
      <c r="A208">
        <v>207</v>
      </c>
      <c r="B208" s="3">
        <v>45919.493182870399</v>
      </c>
      <c r="C208" s="3">
        <v>45919.494652777801</v>
      </c>
      <c r="D208" s="4" t="s">
        <v>49</v>
      </c>
      <c r="E208" s="4" t="s">
        <v>50</v>
      </c>
      <c r="F208" s="5" t="s">
        <v>592</v>
      </c>
      <c r="G208" s="4" t="s">
        <v>52</v>
      </c>
      <c r="H208" s="2">
        <v>45912</v>
      </c>
      <c r="I208" s="4" t="s">
        <v>53</v>
      </c>
      <c r="J208" s="4" t="s">
        <v>54</v>
      </c>
      <c r="K208" s="4" t="s">
        <v>103</v>
      </c>
      <c r="L208" s="4" t="s">
        <v>56</v>
      </c>
      <c r="M208">
        <v>12</v>
      </c>
      <c r="N208">
        <v>7</v>
      </c>
      <c r="O208">
        <v>9</v>
      </c>
      <c r="P208">
        <v>8</v>
      </c>
      <c r="Q208">
        <v>10</v>
      </c>
      <c r="R208">
        <v>3</v>
      </c>
      <c r="S208">
        <v>4</v>
      </c>
      <c r="T208">
        <v>6</v>
      </c>
      <c r="U208">
        <v>5</v>
      </c>
      <c r="V208">
        <v>10</v>
      </c>
      <c r="W208">
        <v>1</v>
      </c>
      <c r="X208">
        <v>2</v>
      </c>
      <c r="Y208">
        <f>COUNTA(OfficeForms.Table[[#This Row],[elements_shelters]:[elements_restspots]])</f>
        <v>12</v>
      </c>
      <c r="Z208">
        <v>1</v>
      </c>
      <c r="AA208">
        <v>7</v>
      </c>
      <c r="AB208">
        <v>8</v>
      </c>
      <c r="AC208">
        <v>5</v>
      </c>
      <c r="AD208">
        <v>2</v>
      </c>
      <c r="AE208">
        <v>3</v>
      </c>
      <c r="AF208">
        <v>8</v>
      </c>
      <c r="AG208">
        <v>4</v>
      </c>
      <c r="AH208">
        <f>COUNTA(OfficeForms.Table[[#This Row],[pnuw_walktrails]:[pnuw_restspots]])</f>
        <v>8</v>
      </c>
      <c r="AI208" s="4" t="s">
        <v>593</v>
      </c>
      <c r="AJ208" s="4" t="s">
        <v>80</v>
      </c>
      <c r="AK208" s="4" t="s">
        <v>59</v>
      </c>
      <c r="AL208" s="4" t="s">
        <v>60</v>
      </c>
      <c r="AM208" s="4"/>
      <c r="AN208" s="4" t="s">
        <v>61</v>
      </c>
      <c r="AO208" s="4"/>
      <c r="AP208" s="4" t="s">
        <v>59</v>
      </c>
      <c r="AQ208" s="4" t="s">
        <v>263</v>
      </c>
      <c r="AR208" s="4" t="s">
        <v>61</v>
      </c>
      <c r="AS208" s="4"/>
      <c r="AT208" s="4" t="s">
        <v>81</v>
      </c>
      <c r="AU208" s="4" t="s">
        <v>64</v>
      </c>
      <c r="AV208" s="4" t="s">
        <v>125</v>
      </c>
      <c r="AW208" s="4" t="s">
        <v>114</v>
      </c>
      <c r="AX208" s="4" t="s">
        <v>115</v>
      </c>
      <c r="AY208" s="5"/>
    </row>
    <row r="209" spans="1:51" hidden="1" x14ac:dyDescent="0.3">
      <c r="A209">
        <v>208</v>
      </c>
      <c r="B209" s="3">
        <v>45919.494675925896</v>
      </c>
      <c r="C209" s="3">
        <v>45919.496226851901</v>
      </c>
      <c r="D209" s="4" t="s">
        <v>49</v>
      </c>
      <c r="E209" s="4" t="s">
        <v>50</v>
      </c>
      <c r="F209" s="5" t="s">
        <v>594</v>
      </c>
      <c r="G209" s="4" t="s">
        <v>52</v>
      </c>
      <c r="H209" s="2">
        <v>45911</v>
      </c>
      <c r="I209" s="4" t="s">
        <v>53</v>
      </c>
      <c r="J209" s="4" t="s">
        <v>69</v>
      </c>
      <c r="K209" s="4" t="s">
        <v>78</v>
      </c>
      <c r="L209" s="4" t="s">
        <v>56</v>
      </c>
      <c r="M209">
        <v>8</v>
      </c>
      <c r="N209">
        <v>9</v>
      </c>
      <c r="O209">
        <v>3</v>
      </c>
      <c r="P209">
        <v>11</v>
      </c>
      <c r="Q209">
        <v>12</v>
      </c>
      <c r="R209">
        <v>4</v>
      </c>
      <c r="S209">
        <v>5</v>
      </c>
      <c r="T209">
        <v>6</v>
      </c>
      <c r="U209">
        <v>7</v>
      </c>
      <c r="V209">
        <v>10</v>
      </c>
      <c r="W209">
        <v>1</v>
      </c>
      <c r="X209">
        <v>2</v>
      </c>
      <c r="Y209">
        <f>COUNTA(OfficeForms.Table[[#This Row],[elements_shelters]:[elements_restspots]])</f>
        <v>12</v>
      </c>
      <c r="Z209">
        <v>8</v>
      </c>
      <c r="AA209">
        <v>5</v>
      </c>
      <c r="AB209">
        <v>7</v>
      </c>
      <c r="AC209">
        <v>6</v>
      </c>
      <c r="AD209">
        <v>1</v>
      </c>
      <c r="AE209">
        <v>2</v>
      </c>
      <c r="AF209">
        <v>3</v>
      </c>
      <c r="AG209">
        <v>4</v>
      </c>
      <c r="AH209">
        <f>COUNTA(OfficeForms.Table[[#This Row],[pnuw_walktrails]:[pnuw_restspots]])</f>
        <v>8</v>
      </c>
      <c r="AI209" s="4" t="s">
        <v>595</v>
      </c>
      <c r="AJ209" s="4" t="s">
        <v>80</v>
      </c>
      <c r="AK209" s="4" t="s">
        <v>60</v>
      </c>
      <c r="AL209" s="4"/>
      <c r="AM209" s="4"/>
      <c r="AN209" s="4"/>
      <c r="AO209" s="4"/>
      <c r="AP209" s="4"/>
      <c r="AQ209" s="4"/>
      <c r="AR209" s="4"/>
      <c r="AS209" s="4"/>
      <c r="AT209" s="4" t="s">
        <v>63</v>
      </c>
      <c r="AU209" s="4" t="s">
        <v>73</v>
      </c>
      <c r="AV209" s="4" t="s">
        <v>74</v>
      </c>
      <c r="AW209" s="4" t="s">
        <v>112</v>
      </c>
      <c r="AX209" s="4" t="s">
        <v>76</v>
      </c>
      <c r="AY209" s="5"/>
    </row>
    <row r="210" spans="1:51" hidden="1" x14ac:dyDescent="0.3">
      <c r="A210">
        <v>209</v>
      </c>
      <c r="B210" s="3">
        <v>45919.496238425898</v>
      </c>
      <c r="C210" s="3">
        <v>45919.497719907398</v>
      </c>
      <c r="D210" s="4" t="s">
        <v>49</v>
      </c>
      <c r="E210" s="4" t="s">
        <v>50</v>
      </c>
      <c r="F210" s="5" t="s">
        <v>596</v>
      </c>
      <c r="G210" s="4" t="s">
        <v>52</v>
      </c>
      <c r="H210" s="2">
        <v>45911</v>
      </c>
      <c r="I210" s="4" t="s">
        <v>53</v>
      </c>
      <c r="J210" s="4" t="s">
        <v>54</v>
      </c>
      <c r="K210" s="4" t="s">
        <v>55</v>
      </c>
      <c r="L210" s="4" t="s">
        <v>56</v>
      </c>
      <c r="M210">
        <v>12</v>
      </c>
      <c r="N210">
        <v>11</v>
      </c>
      <c r="O210">
        <v>1</v>
      </c>
      <c r="P210">
        <v>9</v>
      </c>
      <c r="Q210">
        <v>10</v>
      </c>
      <c r="R210">
        <v>2</v>
      </c>
      <c r="S210">
        <v>7</v>
      </c>
      <c r="T210">
        <v>6</v>
      </c>
      <c r="U210">
        <v>5</v>
      </c>
      <c r="V210">
        <v>8</v>
      </c>
      <c r="W210">
        <v>4</v>
      </c>
      <c r="X210">
        <v>3</v>
      </c>
      <c r="Y210">
        <f>COUNTA(OfficeForms.Table[[#This Row],[elements_shelters]:[elements_restspots]])</f>
        <v>12</v>
      </c>
      <c r="Z210">
        <v>4</v>
      </c>
      <c r="AA210">
        <v>7</v>
      </c>
      <c r="AB210">
        <v>8</v>
      </c>
      <c r="AC210">
        <v>5</v>
      </c>
      <c r="AD210">
        <v>1</v>
      </c>
      <c r="AE210">
        <v>2</v>
      </c>
      <c r="AF210">
        <v>6</v>
      </c>
      <c r="AG210">
        <v>3</v>
      </c>
      <c r="AH210">
        <f>COUNTA(OfficeForms.Table[[#This Row],[pnuw_walktrails]:[pnuw_restspots]])</f>
        <v>8</v>
      </c>
      <c r="AI210" s="4" t="s">
        <v>117</v>
      </c>
      <c r="AJ210" s="4" t="s">
        <v>88</v>
      </c>
      <c r="AK210" s="4" t="s">
        <v>60</v>
      </c>
      <c r="AL210" s="4"/>
      <c r="AM210" s="4"/>
      <c r="AN210" s="4"/>
      <c r="AO210" s="4"/>
      <c r="AP210" s="4"/>
      <c r="AQ210" s="4"/>
      <c r="AR210" s="4"/>
      <c r="AS210" s="4"/>
      <c r="AT210" s="4" t="s">
        <v>81</v>
      </c>
      <c r="AU210" s="4" t="s">
        <v>73</v>
      </c>
      <c r="AV210" s="4" t="s">
        <v>74</v>
      </c>
      <c r="AW210" s="4" t="s">
        <v>144</v>
      </c>
      <c r="AX210" s="4" t="s">
        <v>144</v>
      </c>
      <c r="AY210" s="5"/>
    </row>
    <row r="211" spans="1:51" hidden="1" x14ac:dyDescent="0.3">
      <c r="A211">
        <v>210</v>
      </c>
      <c r="B211" s="3">
        <v>45919.497743055603</v>
      </c>
      <c r="C211" s="3">
        <v>45919.498796296299</v>
      </c>
      <c r="D211" s="4" t="s">
        <v>49</v>
      </c>
      <c r="E211" s="4" t="s">
        <v>50</v>
      </c>
      <c r="F211" s="5" t="s">
        <v>597</v>
      </c>
      <c r="G211" s="4" t="s">
        <v>52</v>
      </c>
      <c r="H211" s="2">
        <v>45910</v>
      </c>
      <c r="I211" s="4" t="s">
        <v>53</v>
      </c>
      <c r="J211" s="4" t="s">
        <v>85</v>
      </c>
      <c r="K211" s="4" t="s">
        <v>78</v>
      </c>
      <c r="L211" s="4" t="s">
        <v>56</v>
      </c>
      <c r="M211">
        <v>12</v>
      </c>
      <c r="N211">
        <v>3</v>
      </c>
      <c r="O211">
        <v>1</v>
      </c>
      <c r="P211">
        <v>2</v>
      </c>
      <c r="Q211">
        <v>11</v>
      </c>
      <c r="R211">
        <v>7</v>
      </c>
      <c r="S211">
        <v>8</v>
      </c>
      <c r="T211">
        <v>9</v>
      </c>
      <c r="U211">
        <v>4</v>
      </c>
      <c r="V211">
        <v>10</v>
      </c>
      <c r="W211">
        <v>5</v>
      </c>
      <c r="X211">
        <v>8</v>
      </c>
      <c r="Y211">
        <f>COUNTA(OfficeForms.Table[[#This Row],[elements_shelters]:[elements_restspots]])</f>
        <v>12</v>
      </c>
      <c r="Z211">
        <v>6</v>
      </c>
      <c r="AA211">
        <v>7</v>
      </c>
      <c r="AB211">
        <v>5</v>
      </c>
      <c r="AC211">
        <v>8</v>
      </c>
      <c r="AD211">
        <v>1</v>
      </c>
      <c r="AE211">
        <v>2</v>
      </c>
      <c r="AF211">
        <v>3</v>
      </c>
      <c r="AG211">
        <v>4</v>
      </c>
      <c r="AH211">
        <f>COUNTA(OfficeForms.Table[[#This Row],[pnuw_walktrails]:[pnuw_restspots]])</f>
        <v>8</v>
      </c>
      <c r="AI211" s="4" t="s">
        <v>117</v>
      </c>
      <c r="AJ211" s="4" t="s">
        <v>88</v>
      </c>
      <c r="AK211" s="4" t="s">
        <v>60</v>
      </c>
      <c r="AL211" s="4"/>
      <c r="AM211" s="4"/>
      <c r="AN211" s="4"/>
      <c r="AO211" s="4"/>
      <c r="AP211" s="4"/>
      <c r="AQ211" s="4"/>
      <c r="AR211" s="4"/>
      <c r="AS211" s="4"/>
      <c r="AT211" s="4" t="s">
        <v>81</v>
      </c>
      <c r="AU211" s="4" t="s">
        <v>73</v>
      </c>
      <c r="AV211" s="4" t="s">
        <v>82</v>
      </c>
      <c r="AW211" s="4" t="s">
        <v>394</v>
      </c>
      <c r="AX211" s="4" t="s">
        <v>394</v>
      </c>
      <c r="AY211" s="5"/>
    </row>
    <row r="212" spans="1:51" hidden="1" x14ac:dyDescent="0.3">
      <c r="A212">
        <v>211</v>
      </c>
      <c r="B212" s="3">
        <v>45919.521782407399</v>
      </c>
      <c r="C212" s="3">
        <v>45919.522002314799</v>
      </c>
      <c r="D212" s="4" t="s">
        <v>49</v>
      </c>
      <c r="E212" s="4" t="s">
        <v>50</v>
      </c>
      <c r="F212" s="5" t="s">
        <v>598</v>
      </c>
      <c r="G212" s="4" t="s">
        <v>132</v>
      </c>
      <c r="H212" s="2">
        <v>45908</v>
      </c>
      <c r="I212" s="4" t="s">
        <v>53</v>
      </c>
      <c r="J212" s="4" t="s">
        <v>54</v>
      </c>
      <c r="K212" s="4" t="s">
        <v>78</v>
      </c>
      <c r="L212" s="4" t="s">
        <v>56</v>
      </c>
      <c r="M212">
        <v>6</v>
      </c>
      <c r="N212">
        <v>2</v>
      </c>
      <c r="O212">
        <v>11</v>
      </c>
      <c r="P212">
        <v>1</v>
      </c>
      <c r="Q212">
        <v>12</v>
      </c>
      <c r="R212">
        <v>7</v>
      </c>
      <c r="S212">
        <v>4</v>
      </c>
      <c r="T212">
        <v>3</v>
      </c>
      <c r="U212">
        <v>9</v>
      </c>
      <c r="V212">
        <v>10</v>
      </c>
      <c r="W212">
        <v>5</v>
      </c>
      <c r="X212">
        <v>8</v>
      </c>
      <c r="Y212">
        <f>COUNTA(OfficeForms.Table[[#This Row],[elements_shelters]:[elements_restspots]])</f>
        <v>12</v>
      </c>
      <c r="Z212">
        <v>3</v>
      </c>
      <c r="AA212">
        <v>2</v>
      </c>
      <c r="AB212">
        <v>1</v>
      </c>
      <c r="AC212">
        <v>4</v>
      </c>
      <c r="AD212">
        <v>5</v>
      </c>
      <c r="AE212">
        <v>8</v>
      </c>
      <c r="AF212">
        <v>6</v>
      </c>
      <c r="AG212">
        <v>7</v>
      </c>
      <c r="AH212">
        <f>COUNTA(OfficeForms.Table[[#This Row],[pnuw_walktrails]:[pnuw_restspots]])</f>
        <v>8</v>
      </c>
      <c r="AI212" s="4" t="s">
        <v>599</v>
      </c>
      <c r="AJ212" s="4" t="s">
        <v>80</v>
      </c>
      <c r="AK212" s="4" t="s">
        <v>60</v>
      </c>
      <c r="AL212" s="4"/>
      <c r="AM212" s="4"/>
      <c r="AN212" s="4"/>
      <c r="AO212" s="4"/>
      <c r="AP212" s="4"/>
      <c r="AQ212" s="4"/>
      <c r="AR212" s="4"/>
      <c r="AS212" s="4"/>
      <c r="AT212" s="4" t="s">
        <v>81</v>
      </c>
      <c r="AU212" s="4" t="s">
        <v>64</v>
      </c>
      <c r="AV212" s="4" t="s">
        <v>82</v>
      </c>
      <c r="AW212" s="4" t="s">
        <v>600</v>
      </c>
      <c r="AX212" s="4" t="s">
        <v>601</v>
      </c>
      <c r="AY212" s="5"/>
    </row>
    <row r="213" spans="1:51" hidden="1" x14ac:dyDescent="0.3">
      <c r="A213">
        <v>212</v>
      </c>
      <c r="B213" s="3">
        <v>45919.522025462997</v>
      </c>
      <c r="C213" s="3">
        <v>45919.523194444402</v>
      </c>
      <c r="D213" s="4" t="s">
        <v>49</v>
      </c>
      <c r="E213" s="4" t="s">
        <v>50</v>
      </c>
      <c r="F213" s="5" t="s">
        <v>602</v>
      </c>
      <c r="G213" s="4" t="s">
        <v>132</v>
      </c>
      <c r="H213" s="2">
        <v>45908</v>
      </c>
      <c r="I213" s="4" t="s">
        <v>53</v>
      </c>
      <c r="J213" s="4" t="s">
        <v>54</v>
      </c>
      <c r="K213" s="4" t="s">
        <v>55</v>
      </c>
      <c r="L213" s="4" t="s">
        <v>56</v>
      </c>
      <c r="M213">
        <v>11</v>
      </c>
      <c r="N213">
        <v>6</v>
      </c>
      <c r="O213">
        <v>1</v>
      </c>
      <c r="P213">
        <v>2</v>
      </c>
      <c r="Q213">
        <v>12</v>
      </c>
      <c r="R213">
        <v>3</v>
      </c>
      <c r="S213">
        <v>8</v>
      </c>
      <c r="T213">
        <v>7</v>
      </c>
      <c r="U213">
        <v>4</v>
      </c>
      <c r="V213">
        <v>10</v>
      </c>
      <c r="W213">
        <v>5</v>
      </c>
      <c r="X213">
        <v>4</v>
      </c>
      <c r="Y213">
        <f>COUNTA(OfficeForms.Table[[#This Row],[elements_shelters]:[elements_restspots]])</f>
        <v>12</v>
      </c>
      <c r="Z213">
        <v>3</v>
      </c>
      <c r="AA213">
        <v>2</v>
      </c>
      <c r="AB213">
        <v>1</v>
      </c>
      <c r="AC213">
        <v>4</v>
      </c>
      <c r="AD213">
        <v>8</v>
      </c>
      <c r="AE213">
        <v>6</v>
      </c>
      <c r="AF213">
        <v>7</v>
      </c>
      <c r="AG213">
        <v>5</v>
      </c>
      <c r="AH213">
        <f>COUNTA(OfficeForms.Table[[#This Row],[pnuw_walktrails]:[pnuw_restspots]])</f>
        <v>8</v>
      </c>
      <c r="AI213" s="4" t="s">
        <v>117</v>
      </c>
      <c r="AJ213" s="4" t="s">
        <v>88</v>
      </c>
      <c r="AK213" s="4" t="s">
        <v>60</v>
      </c>
      <c r="AL213" s="4"/>
      <c r="AM213" s="4"/>
      <c r="AN213" s="4"/>
      <c r="AO213" s="4"/>
      <c r="AP213" s="4"/>
      <c r="AQ213" s="4"/>
      <c r="AR213" s="4"/>
      <c r="AS213" s="4"/>
      <c r="AT213" s="4" t="s">
        <v>63</v>
      </c>
      <c r="AU213" s="4" t="s">
        <v>64</v>
      </c>
      <c r="AV213" s="4" t="s">
        <v>82</v>
      </c>
      <c r="AW213" s="4" t="s">
        <v>600</v>
      </c>
      <c r="AX213" s="4" t="s">
        <v>601</v>
      </c>
      <c r="AY213" s="5"/>
    </row>
    <row r="214" spans="1:51" hidden="1" x14ac:dyDescent="0.3">
      <c r="A214">
        <v>213</v>
      </c>
      <c r="B214" s="3">
        <v>45919.5234837963</v>
      </c>
      <c r="C214" s="3">
        <v>45919.524791666699</v>
      </c>
      <c r="D214" s="4" t="s">
        <v>49</v>
      </c>
      <c r="E214" s="4" t="s">
        <v>50</v>
      </c>
      <c r="F214" s="5" t="s">
        <v>603</v>
      </c>
      <c r="G214" s="4" t="s">
        <v>132</v>
      </c>
      <c r="H214" s="2">
        <v>45909</v>
      </c>
      <c r="I214" s="4" t="s">
        <v>53</v>
      </c>
      <c r="J214" s="4" t="s">
        <v>85</v>
      </c>
      <c r="K214" s="4" t="s">
        <v>78</v>
      </c>
      <c r="L214" s="4" t="s">
        <v>56</v>
      </c>
      <c r="M214">
        <v>9</v>
      </c>
      <c r="N214">
        <v>8</v>
      </c>
      <c r="O214">
        <v>5</v>
      </c>
      <c r="P214">
        <v>10</v>
      </c>
      <c r="Q214">
        <v>11</v>
      </c>
      <c r="R214">
        <v>1</v>
      </c>
      <c r="S214">
        <v>2</v>
      </c>
      <c r="T214">
        <v>3</v>
      </c>
      <c r="U214">
        <v>4</v>
      </c>
      <c r="V214">
        <v>12</v>
      </c>
      <c r="W214">
        <v>7</v>
      </c>
      <c r="X214">
        <v>5</v>
      </c>
      <c r="Y214">
        <f>COUNTA(OfficeForms.Table[[#This Row],[elements_shelters]:[elements_restspots]])</f>
        <v>12</v>
      </c>
      <c r="AH214">
        <f>COUNTA(OfficeForms.Table[[#This Row],[pnuw_walktrails]:[pnuw_restspots]])</f>
        <v>0</v>
      </c>
      <c r="AI214" s="4" t="s">
        <v>604</v>
      </c>
      <c r="AJ214" s="4" t="s">
        <v>88</v>
      </c>
      <c r="AK214" s="4" t="s">
        <v>60</v>
      </c>
      <c r="AL214" s="4"/>
      <c r="AM214" s="4"/>
      <c r="AN214" s="4"/>
      <c r="AO214" s="4"/>
      <c r="AP214" s="4"/>
      <c r="AQ214" s="4"/>
      <c r="AR214" s="4"/>
      <c r="AS214" s="4"/>
      <c r="AT214" s="4" t="s">
        <v>81</v>
      </c>
      <c r="AU214" s="4" t="s">
        <v>64</v>
      </c>
      <c r="AV214" s="4" t="s">
        <v>74</v>
      </c>
      <c r="AW214" s="4" t="s">
        <v>463</v>
      </c>
      <c r="AX214" s="4" t="s">
        <v>464</v>
      </c>
      <c r="AY214" s="5"/>
    </row>
    <row r="215" spans="1:51" hidden="1" x14ac:dyDescent="0.3">
      <c r="A215">
        <v>214</v>
      </c>
      <c r="B215" s="3">
        <v>45919.5249189815</v>
      </c>
      <c r="C215" s="3">
        <v>45919.527442129598</v>
      </c>
      <c r="D215" s="4" t="s">
        <v>49</v>
      </c>
      <c r="E215" s="4" t="s">
        <v>50</v>
      </c>
      <c r="F215" s="5" t="s">
        <v>605</v>
      </c>
      <c r="G215" s="4" t="s">
        <v>132</v>
      </c>
      <c r="H215" s="2">
        <v>45909</v>
      </c>
      <c r="I215" s="4" t="s">
        <v>53</v>
      </c>
      <c r="J215" s="4" t="s">
        <v>85</v>
      </c>
      <c r="K215" s="4" t="s">
        <v>78</v>
      </c>
      <c r="L215" s="4" t="s">
        <v>86</v>
      </c>
      <c r="M215">
        <v>11</v>
      </c>
      <c r="N215">
        <v>1</v>
      </c>
      <c r="O215">
        <v>2</v>
      </c>
      <c r="P215">
        <v>9</v>
      </c>
      <c r="Q215">
        <v>10</v>
      </c>
      <c r="R215">
        <v>5</v>
      </c>
      <c r="S215">
        <v>3</v>
      </c>
      <c r="T215">
        <v>8</v>
      </c>
      <c r="U215">
        <v>7</v>
      </c>
      <c r="V215">
        <v>12</v>
      </c>
      <c r="W215">
        <v>6</v>
      </c>
      <c r="X215">
        <v>4</v>
      </c>
      <c r="Y215">
        <f>COUNTA(OfficeForms.Table[[#This Row],[elements_shelters]:[elements_restspots]])</f>
        <v>12</v>
      </c>
      <c r="Z215">
        <v>5</v>
      </c>
      <c r="AA215">
        <v>3</v>
      </c>
      <c r="AB215">
        <v>8</v>
      </c>
      <c r="AC215">
        <v>1</v>
      </c>
      <c r="AD215">
        <v>4</v>
      </c>
      <c r="AE215">
        <v>7</v>
      </c>
      <c r="AF215">
        <v>6</v>
      </c>
      <c r="AG215">
        <v>2</v>
      </c>
      <c r="AH215">
        <f>COUNTA(OfficeForms.Table[[#This Row],[pnuw_walktrails]:[pnuw_restspots]])</f>
        <v>8</v>
      </c>
      <c r="AI215" s="4" t="s">
        <v>606</v>
      </c>
      <c r="AJ215" s="4" t="s">
        <v>88</v>
      </c>
      <c r="AK215" s="4" t="s">
        <v>60</v>
      </c>
      <c r="AL215" s="4"/>
      <c r="AM215" s="4"/>
      <c r="AN215" s="4"/>
      <c r="AO215" s="4"/>
      <c r="AP215" s="4"/>
      <c r="AQ215" s="4"/>
      <c r="AR215" s="4"/>
      <c r="AS215" s="4"/>
      <c r="AT215" s="4" t="s">
        <v>63</v>
      </c>
      <c r="AU215" s="4" t="s">
        <v>64</v>
      </c>
      <c r="AV215" s="4" t="s">
        <v>125</v>
      </c>
      <c r="AW215" s="4" t="s">
        <v>463</v>
      </c>
      <c r="AX215" s="4" t="s">
        <v>464</v>
      </c>
      <c r="AY215" s="5"/>
    </row>
    <row r="216" spans="1:51" hidden="1" x14ac:dyDescent="0.3">
      <c r="A216">
        <v>215</v>
      </c>
      <c r="B216" s="3">
        <v>45919.527453703697</v>
      </c>
      <c r="C216" s="3">
        <v>45919.528263888897</v>
      </c>
      <c r="D216" s="4" t="s">
        <v>49</v>
      </c>
      <c r="E216" s="4" t="s">
        <v>50</v>
      </c>
      <c r="F216" s="5" t="s">
        <v>607</v>
      </c>
      <c r="G216" s="4" t="s">
        <v>132</v>
      </c>
      <c r="H216" s="2">
        <v>45909</v>
      </c>
      <c r="I216" s="4" t="s">
        <v>53</v>
      </c>
      <c r="J216" s="4" t="s">
        <v>85</v>
      </c>
      <c r="K216" s="4" t="s">
        <v>215</v>
      </c>
      <c r="L216" s="4" t="s">
        <v>70</v>
      </c>
      <c r="Y216">
        <f>COUNTA(OfficeForms.Table[[#This Row],[elements_shelters]:[elements_restspots]])</f>
        <v>0</v>
      </c>
      <c r="AH216">
        <f>COUNTA(OfficeForms.Table[[#This Row],[pnuw_walktrails]:[pnuw_restspots]])</f>
        <v>0</v>
      </c>
      <c r="AI216" s="4" t="s">
        <v>117</v>
      </c>
      <c r="AJ216" s="4" t="s">
        <v>88</v>
      </c>
      <c r="AK216" s="4" t="s">
        <v>60</v>
      </c>
      <c r="AL216" s="4"/>
      <c r="AM216" s="4"/>
      <c r="AN216" s="4"/>
      <c r="AO216" s="4"/>
      <c r="AP216" s="4"/>
      <c r="AQ216" s="4"/>
      <c r="AR216" s="4"/>
      <c r="AS216" s="4"/>
      <c r="AT216" s="4" t="s">
        <v>81</v>
      </c>
      <c r="AU216" s="4" t="s">
        <v>64</v>
      </c>
      <c r="AV216" s="4" t="s">
        <v>74</v>
      </c>
      <c r="AW216" s="4" t="s">
        <v>95</v>
      </c>
      <c r="AX216" s="4" t="s">
        <v>95</v>
      </c>
      <c r="AY216" s="5"/>
    </row>
    <row r="217" spans="1:51" hidden="1" x14ac:dyDescent="0.3">
      <c r="A217">
        <v>216</v>
      </c>
      <c r="B217" s="3">
        <v>45919.528287036999</v>
      </c>
      <c r="C217" s="3">
        <v>45919.529467592598</v>
      </c>
      <c r="D217" s="4" t="s">
        <v>49</v>
      </c>
      <c r="E217" s="4" t="s">
        <v>50</v>
      </c>
      <c r="F217" s="5" t="s">
        <v>608</v>
      </c>
      <c r="G217" s="4" t="s">
        <v>132</v>
      </c>
      <c r="H217" s="2">
        <v>45909</v>
      </c>
      <c r="I217" s="4" t="s">
        <v>53</v>
      </c>
      <c r="J217" s="4" t="s">
        <v>54</v>
      </c>
      <c r="K217" s="4" t="s">
        <v>78</v>
      </c>
      <c r="L217" s="4" t="s">
        <v>86</v>
      </c>
      <c r="M217">
        <v>2</v>
      </c>
      <c r="N217">
        <v>1</v>
      </c>
      <c r="O217">
        <v>7</v>
      </c>
      <c r="P217">
        <v>8</v>
      </c>
      <c r="Q217">
        <v>9</v>
      </c>
      <c r="R217">
        <v>3</v>
      </c>
      <c r="S217">
        <v>4</v>
      </c>
      <c r="T217">
        <v>6</v>
      </c>
      <c r="U217">
        <v>5</v>
      </c>
      <c r="V217">
        <v>12</v>
      </c>
      <c r="W217">
        <v>11</v>
      </c>
      <c r="X217">
        <v>10</v>
      </c>
      <c r="Y217">
        <f>COUNTA(OfficeForms.Table[[#This Row],[elements_shelters]:[elements_restspots]])</f>
        <v>12</v>
      </c>
      <c r="Z217">
        <v>2</v>
      </c>
      <c r="AA217">
        <v>8</v>
      </c>
      <c r="AB217">
        <v>7</v>
      </c>
      <c r="AC217">
        <v>1</v>
      </c>
      <c r="AD217">
        <v>6</v>
      </c>
      <c r="AE217">
        <v>5</v>
      </c>
      <c r="AF217">
        <v>3</v>
      </c>
      <c r="AG217">
        <v>4</v>
      </c>
      <c r="AH217">
        <f>COUNTA(OfficeForms.Table[[#This Row],[pnuw_walktrails]:[pnuw_restspots]])</f>
        <v>8</v>
      </c>
      <c r="AI217" s="4" t="s">
        <v>117</v>
      </c>
      <c r="AJ217" s="4" t="s">
        <v>88</v>
      </c>
      <c r="AK217" s="4" t="s">
        <v>60</v>
      </c>
      <c r="AL217" s="4"/>
      <c r="AM217" s="4"/>
      <c r="AN217" s="4"/>
      <c r="AO217" s="4"/>
      <c r="AP217" s="4"/>
      <c r="AQ217" s="4"/>
      <c r="AR217" s="4"/>
      <c r="AS217" s="4"/>
      <c r="AT217" s="4" t="s">
        <v>81</v>
      </c>
      <c r="AU217" s="4" t="s">
        <v>73</v>
      </c>
      <c r="AV217" s="4" t="s">
        <v>82</v>
      </c>
      <c r="AW217" s="4" t="s">
        <v>609</v>
      </c>
      <c r="AX217" s="4" t="s">
        <v>609</v>
      </c>
      <c r="AY217" s="5"/>
    </row>
    <row r="218" spans="1:51" hidden="1" x14ac:dyDescent="0.3">
      <c r="A218">
        <v>217</v>
      </c>
      <c r="B218" s="3">
        <v>45919.529594907399</v>
      </c>
      <c r="C218" s="3">
        <v>45919.530821759297</v>
      </c>
      <c r="D218" s="4" t="s">
        <v>49</v>
      </c>
      <c r="E218" s="4" t="s">
        <v>50</v>
      </c>
      <c r="F218" s="5" t="s">
        <v>610</v>
      </c>
      <c r="G218" s="4" t="s">
        <v>132</v>
      </c>
      <c r="H218" s="2">
        <v>45910</v>
      </c>
      <c r="I218" s="4" t="s">
        <v>53</v>
      </c>
      <c r="J218" s="4" t="s">
        <v>85</v>
      </c>
      <c r="K218" s="4" t="s">
        <v>215</v>
      </c>
      <c r="L218" s="4" t="s">
        <v>86</v>
      </c>
      <c r="M218">
        <v>11</v>
      </c>
      <c r="N218">
        <v>2</v>
      </c>
      <c r="O218">
        <v>3</v>
      </c>
      <c r="P218">
        <v>1</v>
      </c>
      <c r="Q218">
        <v>10</v>
      </c>
      <c r="R218">
        <v>4</v>
      </c>
      <c r="S218">
        <v>8</v>
      </c>
      <c r="T218">
        <v>6</v>
      </c>
      <c r="U218">
        <v>7</v>
      </c>
      <c r="V218">
        <v>9</v>
      </c>
      <c r="W218">
        <v>12</v>
      </c>
      <c r="X218">
        <v>8</v>
      </c>
      <c r="Y218">
        <f>COUNTA(OfficeForms.Table[[#This Row],[elements_shelters]:[elements_restspots]])</f>
        <v>12</v>
      </c>
      <c r="Z218">
        <v>6</v>
      </c>
      <c r="AA218">
        <v>3</v>
      </c>
      <c r="AB218">
        <v>1</v>
      </c>
      <c r="AC218">
        <v>2</v>
      </c>
      <c r="AD218">
        <v>8</v>
      </c>
      <c r="AE218">
        <v>5</v>
      </c>
      <c r="AF218">
        <v>7</v>
      </c>
      <c r="AG218">
        <v>4</v>
      </c>
      <c r="AH218">
        <f>COUNTA(OfficeForms.Table[[#This Row],[pnuw_walktrails]:[pnuw_restspots]])</f>
        <v>8</v>
      </c>
      <c r="AI218" s="4" t="s">
        <v>611</v>
      </c>
      <c r="AJ218" s="4" t="s">
        <v>88</v>
      </c>
      <c r="AK218" s="4" t="s">
        <v>60</v>
      </c>
      <c r="AL218" s="4"/>
      <c r="AM218" s="4"/>
      <c r="AN218" s="4"/>
      <c r="AO218" s="4"/>
      <c r="AP218" s="4"/>
      <c r="AQ218" s="4"/>
      <c r="AR218" s="4"/>
      <c r="AS218" s="4"/>
      <c r="AT218" s="4" t="s">
        <v>81</v>
      </c>
      <c r="AU218" s="4" t="s">
        <v>73</v>
      </c>
      <c r="AV218" s="4" t="s">
        <v>125</v>
      </c>
      <c r="AW218" s="4" t="s">
        <v>291</v>
      </c>
      <c r="AX218" s="4" t="s">
        <v>291</v>
      </c>
      <c r="AY218" s="5"/>
    </row>
    <row r="219" spans="1:51" hidden="1" x14ac:dyDescent="0.3">
      <c r="A219">
        <v>218</v>
      </c>
      <c r="B219" s="3">
        <v>45919.5308449074</v>
      </c>
      <c r="C219" s="3">
        <v>45919.533865740697</v>
      </c>
      <c r="D219" s="4" t="s">
        <v>49</v>
      </c>
      <c r="E219" s="4" t="s">
        <v>50</v>
      </c>
      <c r="F219" s="5" t="s">
        <v>612</v>
      </c>
      <c r="G219" s="4" t="s">
        <v>132</v>
      </c>
      <c r="H219" s="2">
        <v>45910</v>
      </c>
      <c r="I219" s="4" t="s">
        <v>53</v>
      </c>
      <c r="J219" s="4" t="s">
        <v>54</v>
      </c>
      <c r="K219" s="4" t="s">
        <v>55</v>
      </c>
      <c r="L219" s="4" t="s">
        <v>86</v>
      </c>
      <c r="M219">
        <v>1</v>
      </c>
      <c r="N219">
        <v>2</v>
      </c>
      <c r="O219">
        <v>3</v>
      </c>
      <c r="P219">
        <v>4</v>
      </c>
      <c r="Q219">
        <v>6</v>
      </c>
      <c r="R219">
        <v>9</v>
      </c>
      <c r="S219">
        <v>7</v>
      </c>
      <c r="T219">
        <v>8</v>
      </c>
      <c r="U219">
        <v>5</v>
      </c>
      <c r="V219">
        <v>10</v>
      </c>
      <c r="W219">
        <v>11</v>
      </c>
      <c r="X219">
        <v>12</v>
      </c>
      <c r="Y219">
        <f>COUNTA(OfficeForms.Table[[#This Row],[elements_shelters]:[elements_restspots]])</f>
        <v>12</v>
      </c>
      <c r="Z219">
        <v>1</v>
      </c>
      <c r="AA219">
        <v>2</v>
      </c>
      <c r="AB219">
        <v>3</v>
      </c>
      <c r="AC219">
        <v>4</v>
      </c>
      <c r="AD219">
        <v>5</v>
      </c>
      <c r="AE219">
        <v>8</v>
      </c>
      <c r="AF219">
        <v>7</v>
      </c>
      <c r="AG219">
        <v>6</v>
      </c>
      <c r="AH219">
        <f>COUNTA(OfficeForms.Table[[#This Row],[pnuw_walktrails]:[pnuw_restspots]])</f>
        <v>8</v>
      </c>
      <c r="AI219" s="4" t="s">
        <v>613</v>
      </c>
      <c r="AJ219" s="4" t="s">
        <v>80</v>
      </c>
      <c r="AK219" s="4" t="s">
        <v>60</v>
      </c>
      <c r="AL219" s="4"/>
      <c r="AM219" s="4"/>
      <c r="AN219" s="4"/>
      <c r="AO219" s="4"/>
      <c r="AP219" s="4"/>
      <c r="AQ219" s="4"/>
      <c r="AR219" s="4"/>
      <c r="AS219" s="4"/>
      <c r="AT219" s="4" t="s">
        <v>63</v>
      </c>
      <c r="AU219" s="4" t="s">
        <v>64</v>
      </c>
      <c r="AV219" s="4" t="s">
        <v>82</v>
      </c>
      <c r="AW219" s="4" t="s">
        <v>580</v>
      </c>
      <c r="AX219" s="4" t="s">
        <v>67</v>
      </c>
      <c r="AY219" s="5"/>
    </row>
    <row r="220" spans="1:51" hidden="1" x14ac:dyDescent="0.3">
      <c r="A220">
        <v>219</v>
      </c>
      <c r="B220" s="3">
        <v>45919.533981481502</v>
      </c>
      <c r="C220" s="3">
        <v>45919.536747685197</v>
      </c>
      <c r="D220" s="4" t="s">
        <v>49</v>
      </c>
      <c r="E220" s="4" t="s">
        <v>50</v>
      </c>
      <c r="F220" s="5" t="s">
        <v>614</v>
      </c>
      <c r="G220" s="4" t="s">
        <v>132</v>
      </c>
      <c r="H220" s="2">
        <v>45911</v>
      </c>
      <c r="I220" s="4" t="s">
        <v>53</v>
      </c>
      <c r="J220" s="4" t="s">
        <v>85</v>
      </c>
      <c r="K220" s="4" t="s">
        <v>78</v>
      </c>
      <c r="L220" s="4" t="s">
        <v>56</v>
      </c>
      <c r="M220">
        <v>11</v>
      </c>
      <c r="N220">
        <v>2</v>
      </c>
      <c r="O220">
        <v>1</v>
      </c>
      <c r="P220">
        <v>7</v>
      </c>
      <c r="Q220">
        <v>8</v>
      </c>
      <c r="R220">
        <v>3</v>
      </c>
      <c r="S220">
        <v>4</v>
      </c>
      <c r="T220">
        <v>5</v>
      </c>
      <c r="U220">
        <v>9</v>
      </c>
      <c r="V220">
        <v>12</v>
      </c>
      <c r="W220">
        <v>6</v>
      </c>
      <c r="X220">
        <v>10</v>
      </c>
      <c r="Y220">
        <f>COUNTA(OfficeForms.Table[[#This Row],[elements_shelters]:[elements_restspots]])</f>
        <v>12</v>
      </c>
      <c r="Z220">
        <v>1</v>
      </c>
      <c r="AA220">
        <v>6</v>
      </c>
      <c r="AB220">
        <v>7</v>
      </c>
      <c r="AC220">
        <v>8</v>
      </c>
      <c r="AD220">
        <v>5</v>
      </c>
      <c r="AE220">
        <v>4</v>
      </c>
      <c r="AF220">
        <v>2</v>
      </c>
      <c r="AG220">
        <v>3</v>
      </c>
      <c r="AH220">
        <f>COUNTA(OfficeForms.Table[[#This Row],[pnuw_walktrails]:[pnuw_restspots]])</f>
        <v>8</v>
      </c>
      <c r="AI220" s="4" t="s">
        <v>604</v>
      </c>
      <c r="AJ220" s="4" t="s">
        <v>88</v>
      </c>
      <c r="AK220" s="4" t="s">
        <v>60</v>
      </c>
      <c r="AL220" s="4"/>
      <c r="AM220" s="4"/>
      <c r="AN220" s="4"/>
      <c r="AO220" s="4"/>
      <c r="AP220" s="4"/>
      <c r="AQ220" s="4"/>
      <c r="AR220" s="4"/>
      <c r="AS220" s="4"/>
      <c r="AT220" s="4" t="s">
        <v>63</v>
      </c>
      <c r="AU220" s="4" t="s">
        <v>64</v>
      </c>
      <c r="AV220" s="4" t="s">
        <v>99</v>
      </c>
      <c r="AW220" s="4" t="s">
        <v>615</v>
      </c>
      <c r="AX220" s="4" t="s">
        <v>615</v>
      </c>
      <c r="AY220" s="5"/>
    </row>
    <row r="221" spans="1:51" hidden="1" x14ac:dyDescent="0.3">
      <c r="A221">
        <v>220</v>
      </c>
      <c r="B221" s="3">
        <v>45919.536759259303</v>
      </c>
      <c r="C221" s="3">
        <v>45919.538043981498</v>
      </c>
      <c r="D221" s="4" t="s">
        <v>49</v>
      </c>
      <c r="E221" s="4" t="s">
        <v>50</v>
      </c>
      <c r="F221" s="5" t="s">
        <v>616</v>
      </c>
      <c r="G221" s="4" t="s">
        <v>132</v>
      </c>
      <c r="H221" s="2">
        <v>45911</v>
      </c>
      <c r="I221" s="4" t="s">
        <v>53</v>
      </c>
      <c r="J221" s="4" t="s">
        <v>85</v>
      </c>
      <c r="K221" s="4" t="s">
        <v>78</v>
      </c>
      <c r="L221" s="4" t="s">
        <v>56</v>
      </c>
      <c r="M221">
        <v>7</v>
      </c>
      <c r="N221">
        <v>5</v>
      </c>
      <c r="O221">
        <v>3</v>
      </c>
      <c r="P221">
        <v>9</v>
      </c>
      <c r="Q221">
        <v>10</v>
      </c>
      <c r="R221">
        <v>4</v>
      </c>
      <c r="S221">
        <v>1</v>
      </c>
      <c r="T221">
        <v>6</v>
      </c>
      <c r="U221">
        <v>2</v>
      </c>
      <c r="V221">
        <v>11</v>
      </c>
      <c r="W221">
        <v>6</v>
      </c>
      <c r="X221">
        <v>8</v>
      </c>
      <c r="Y221">
        <f>COUNTA(OfficeForms.Table[[#This Row],[elements_shelters]:[elements_restspots]])</f>
        <v>12</v>
      </c>
      <c r="Z221">
        <v>7</v>
      </c>
      <c r="AA221">
        <v>2</v>
      </c>
      <c r="AB221">
        <v>8</v>
      </c>
      <c r="AC221">
        <v>3</v>
      </c>
      <c r="AD221">
        <v>1</v>
      </c>
      <c r="AE221">
        <v>6</v>
      </c>
      <c r="AF221">
        <v>4</v>
      </c>
      <c r="AG221">
        <v>5</v>
      </c>
      <c r="AH221">
        <f>COUNTA(OfficeForms.Table[[#This Row],[pnuw_walktrails]:[pnuw_restspots]])</f>
        <v>8</v>
      </c>
      <c r="AI221" s="4" t="s">
        <v>117</v>
      </c>
      <c r="AJ221" s="4" t="s">
        <v>88</v>
      </c>
      <c r="AK221" s="4" t="s">
        <v>60</v>
      </c>
      <c r="AL221" s="4"/>
      <c r="AM221" s="4"/>
      <c r="AN221" s="4"/>
      <c r="AO221" s="4"/>
      <c r="AP221" s="4"/>
      <c r="AQ221" s="4"/>
      <c r="AR221" s="4"/>
      <c r="AS221" s="4"/>
      <c r="AT221" s="4" t="s">
        <v>81</v>
      </c>
      <c r="AU221" s="4" t="s">
        <v>73</v>
      </c>
      <c r="AV221" s="4" t="s">
        <v>125</v>
      </c>
      <c r="AW221" s="4" t="s">
        <v>615</v>
      </c>
      <c r="AX221" s="4" t="s">
        <v>615</v>
      </c>
      <c r="AY221" s="5"/>
    </row>
    <row r="222" spans="1:51" hidden="1" x14ac:dyDescent="0.3">
      <c r="A222">
        <v>221</v>
      </c>
      <c r="B222" s="3">
        <v>45919.538078703699</v>
      </c>
      <c r="C222" s="3">
        <v>45919.539652777799</v>
      </c>
      <c r="D222" s="4" t="s">
        <v>49</v>
      </c>
      <c r="E222" s="4" t="s">
        <v>50</v>
      </c>
      <c r="F222" s="5" t="s">
        <v>617</v>
      </c>
      <c r="G222" s="4" t="s">
        <v>132</v>
      </c>
      <c r="H222" s="2">
        <v>45911</v>
      </c>
      <c r="I222" s="4" t="s">
        <v>53</v>
      </c>
      <c r="J222" s="4" t="s">
        <v>85</v>
      </c>
      <c r="K222" s="4" t="s">
        <v>78</v>
      </c>
      <c r="L222" s="4" t="s">
        <v>56</v>
      </c>
      <c r="M222">
        <v>10</v>
      </c>
      <c r="N222">
        <v>2</v>
      </c>
      <c r="O222">
        <v>11</v>
      </c>
      <c r="P222">
        <v>3</v>
      </c>
      <c r="Q222">
        <v>12</v>
      </c>
      <c r="R222">
        <v>6</v>
      </c>
      <c r="S222">
        <v>1</v>
      </c>
      <c r="T222">
        <v>7</v>
      </c>
      <c r="U222">
        <v>5</v>
      </c>
      <c r="V222">
        <v>4</v>
      </c>
      <c r="W222">
        <v>8</v>
      </c>
      <c r="X222">
        <v>9</v>
      </c>
      <c r="Y222">
        <f>COUNTA(OfficeForms.Table[[#This Row],[elements_shelters]:[elements_restspots]])</f>
        <v>12</v>
      </c>
      <c r="Z222">
        <v>2</v>
      </c>
      <c r="AA222">
        <v>7</v>
      </c>
      <c r="AB222">
        <v>3</v>
      </c>
      <c r="AC222">
        <v>4</v>
      </c>
      <c r="AD222">
        <v>1</v>
      </c>
      <c r="AE222">
        <v>6</v>
      </c>
      <c r="AF222">
        <v>5</v>
      </c>
      <c r="AG222">
        <v>8</v>
      </c>
      <c r="AH222">
        <f>COUNTA(OfficeForms.Table[[#This Row],[pnuw_walktrails]:[pnuw_restspots]])</f>
        <v>8</v>
      </c>
      <c r="AI222" s="4" t="s">
        <v>618</v>
      </c>
      <c r="AJ222" s="4" t="s">
        <v>88</v>
      </c>
      <c r="AK222" s="4" t="s">
        <v>59</v>
      </c>
      <c r="AL222" s="4" t="s">
        <v>59</v>
      </c>
      <c r="AM222" s="4" t="s">
        <v>367</v>
      </c>
      <c r="AN222" s="4" t="s">
        <v>61</v>
      </c>
      <c r="AO222" s="4"/>
      <c r="AP222" s="4" t="s">
        <v>59</v>
      </c>
      <c r="AQ222" s="4" t="s">
        <v>251</v>
      </c>
      <c r="AR222" s="4" t="s">
        <v>61</v>
      </c>
      <c r="AS222" s="4"/>
      <c r="AT222" s="4" t="s">
        <v>63</v>
      </c>
      <c r="AU222" s="4" t="s">
        <v>73</v>
      </c>
      <c r="AV222" s="4" t="s">
        <v>74</v>
      </c>
      <c r="AW222" s="4" t="s">
        <v>441</v>
      </c>
      <c r="AX222" s="4" t="s">
        <v>441</v>
      </c>
      <c r="AY222" s="5"/>
    </row>
    <row r="223" spans="1:51" hidden="1" x14ac:dyDescent="0.3">
      <c r="A223">
        <v>222</v>
      </c>
      <c r="B223" s="3">
        <v>45919.539664351803</v>
      </c>
      <c r="C223" s="3">
        <v>45919.541111111103</v>
      </c>
      <c r="D223" s="4" t="s">
        <v>49</v>
      </c>
      <c r="E223" s="4" t="s">
        <v>50</v>
      </c>
      <c r="F223" s="5" t="s">
        <v>619</v>
      </c>
      <c r="G223" s="4" t="s">
        <v>132</v>
      </c>
      <c r="H223" s="2">
        <v>45911</v>
      </c>
      <c r="I223" s="4" t="s">
        <v>53</v>
      </c>
      <c r="J223" s="4" t="s">
        <v>85</v>
      </c>
      <c r="K223" s="4" t="s">
        <v>78</v>
      </c>
      <c r="L223" s="4" t="s">
        <v>56</v>
      </c>
      <c r="M223">
        <v>10</v>
      </c>
      <c r="N223">
        <v>6</v>
      </c>
      <c r="O223">
        <v>5</v>
      </c>
      <c r="P223">
        <v>1</v>
      </c>
      <c r="Q223">
        <v>7</v>
      </c>
      <c r="R223">
        <v>2</v>
      </c>
      <c r="S223">
        <v>9</v>
      </c>
      <c r="T223">
        <v>11</v>
      </c>
      <c r="U223">
        <v>8</v>
      </c>
      <c r="V223">
        <v>12</v>
      </c>
      <c r="W223">
        <v>4</v>
      </c>
      <c r="X223">
        <v>3</v>
      </c>
      <c r="Y223">
        <f>COUNTA(OfficeForms.Table[[#This Row],[elements_shelters]:[elements_restspots]])</f>
        <v>12</v>
      </c>
      <c r="Z223">
        <v>6</v>
      </c>
      <c r="AA223">
        <v>3</v>
      </c>
      <c r="AB223">
        <v>1</v>
      </c>
      <c r="AC223">
        <v>2</v>
      </c>
      <c r="AD223">
        <v>7</v>
      </c>
      <c r="AE223">
        <v>8</v>
      </c>
      <c r="AF223">
        <v>5</v>
      </c>
      <c r="AG223">
        <v>4</v>
      </c>
      <c r="AH223">
        <f>COUNTA(OfficeForms.Table[[#This Row],[pnuw_walktrails]:[pnuw_restspots]])</f>
        <v>8</v>
      </c>
      <c r="AI223" s="4" t="s">
        <v>117</v>
      </c>
      <c r="AJ223" s="4" t="s">
        <v>58</v>
      </c>
      <c r="AK223" s="4" t="s">
        <v>59</v>
      </c>
      <c r="AL223" s="4" t="s">
        <v>60</v>
      </c>
      <c r="AM223" s="4"/>
      <c r="AN223" s="4" t="s">
        <v>61</v>
      </c>
      <c r="AO223" s="4"/>
      <c r="AP223" s="4" t="s">
        <v>59</v>
      </c>
      <c r="AQ223" s="4" t="s">
        <v>620</v>
      </c>
      <c r="AR223" s="4" t="s">
        <v>61</v>
      </c>
      <c r="AS223" s="4"/>
      <c r="AT223" s="4" t="s">
        <v>81</v>
      </c>
      <c r="AU223" s="4" t="s">
        <v>73</v>
      </c>
      <c r="AV223" s="4" t="s">
        <v>74</v>
      </c>
      <c r="AW223" s="4" t="s">
        <v>441</v>
      </c>
      <c r="AX223" s="4" t="s">
        <v>441</v>
      </c>
      <c r="AY223" s="5"/>
    </row>
    <row r="224" spans="1:51" hidden="1" x14ac:dyDescent="0.3">
      <c r="A224">
        <v>223</v>
      </c>
      <c r="B224" s="3">
        <v>45926.487824074102</v>
      </c>
      <c r="C224" s="3">
        <v>45926.487881944398</v>
      </c>
      <c r="D224" s="4" t="s">
        <v>49</v>
      </c>
      <c r="E224" s="4" t="s">
        <v>50</v>
      </c>
      <c r="F224" s="5" t="s">
        <v>621</v>
      </c>
      <c r="G224" s="4" t="s">
        <v>132</v>
      </c>
      <c r="H224" s="2">
        <v>45911</v>
      </c>
      <c r="I224" s="4" t="s">
        <v>53</v>
      </c>
      <c r="J224" s="4" t="s">
        <v>85</v>
      </c>
      <c r="K224" s="4" t="s">
        <v>78</v>
      </c>
      <c r="L224" s="4" t="s">
        <v>56</v>
      </c>
      <c r="M224">
        <v>6</v>
      </c>
      <c r="N224">
        <v>2</v>
      </c>
      <c r="O224">
        <v>1</v>
      </c>
      <c r="P224">
        <v>7</v>
      </c>
      <c r="Q224">
        <v>8</v>
      </c>
      <c r="R224">
        <v>3</v>
      </c>
      <c r="S224">
        <v>9</v>
      </c>
      <c r="T224">
        <v>10</v>
      </c>
      <c r="U224">
        <v>11</v>
      </c>
      <c r="V224">
        <v>12</v>
      </c>
      <c r="W224">
        <v>4</v>
      </c>
      <c r="X224">
        <v>5</v>
      </c>
      <c r="Y224">
        <f>COUNTA(OfficeForms.Table[[#This Row],[elements_shelters]:[elements_restspots]])</f>
        <v>12</v>
      </c>
      <c r="Z224">
        <v>2</v>
      </c>
      <c r="AA224">
        <v>1</v>
      </c>
      <c r="AB224">
        <v>4</v>
      </c>
      <c r="AC224">
        <v>3</v>
      </c>
      <c r="AD224">
        <v>7</v>
      </c>
      <c r="AE224">
        <v>8</v>
      </c>
      <c r="AF224">
        <v>5</v>
      </c>
      <c r="AG224">
        <v>6</v>
      </c>
      <c r="AH224">
        <f>COUNTA(OfficeForms.Table[[#This Row],[pnuw_walktrails]:[pnuw_restspots]])</f>
        <v>8</v>
      </c>
      <c r="AI224" s="4" t="s">
        <v>622</v>
      </c>
      <c r="AJ224" s="4" t="s">
        <v>88</v>
      </c>
      <c r="AK224" s="4" t="s">
        <v>60</v>
      </c>
      <c r="AL224" s="4"/>
      <c r="AM224" s="4"/>
      <c r="AN224" s="4"/>
      <c r="AO224" s="4"/>
      <c r="AP224" s="4"/>
      <c r="AQ224" s="4"/>
      <c r="AR224" s="4"/>
      <c r="AS224" s="4"/>
      <c r="AT224" s="4" t="s">
        <v>63</v>
      </c>
      <c r="AU224" s="4" t="s">
        <v>73</v>
      </c>
      <c r="AV224" s="4" t="s">
        <v>82</v>
      </c>
      <c r="AW224" s="4" t="s">
        <v>623</v>
      </c>
      <c r="AX224" s="4" t="s">
        <v>624</v>
      </c>
      <c r="AY224" s="5"/>
    </row>
    <row r="225" spans="1:51" hidden="1" x14ac:dyDescent="0.3">
      <c r="A225">
        <v>224</v>
      </c>
      <c r="B225" s="3">
        <v>45926.487893518497</v>
      </c>
      <c r="C225" s="3">
        <v>45926.4894907407</v>
      </c>
      <c r="D225" s="4" t="s">
        <v>49</v>
      </c>
      <c r="E225" s="4" t="s">
        <v>50</v>
      </c>
      <c r="F225" s="5" t="s">
        <v>625</v>
      </c>
      <c r="G225" s="4" t="s">
        <v>132</v>
      </c>
      <c r="H225" s="2">
        <v>45911</v>
      </c>
      <c r="I225" s="4" t="s">
        <v>53</v>
      </c>
      <c r="J225" s="4" t="s">
        <v>85</v>
      </c>
      <c r="K225" s="4" t="s">
        <v>626</v>
      </c>
      <c r="L225" s="4" t="s">
        <v>56</v>
      </c>
      <c r="M225">
        <v>6</v>
      </c>
      <c r="N225">
        <v>1</v>
      </c>
      <c r="O225">
        <v>3</v>
      </c>
      <c r="P225">
        <v>7</v>
      </c>
      <c r="Q225">
        <v>8</v>
      </c>
      <c r="R225">
        <v>2</v>
      </c>
      <c r="S225">
        <v>10</v>
      </c>
      <c r="T225">
        <v>11</v>
      </c>
      <c r="U225">
        <v>12</v>
      </c>
      <c r="V225">
        <v>9</v>
      </c>
      <c r="W225">
        <v>4</v>
      </c>
      <c r="X225">
        <v>5</v>
      </c>
      <c r="Y225">
        <f>COUNTA(OfficeForms.Table[[#This Row],[elements_shelters]:[elements_restspots]])</f>
        <v>12</v>
      </c>
      <c r="Z225">
        <v>2</v>
      </c>
      <c r="AA225">
        <v>1</v>
      </c>
      <c r="AB225">
        <v>4</v>
      </c>
      <c r="AC225">
        <v>3</v>
      </c>
      <c r="AD225">
        <v>7</v>
      </c>
      <c r="AE225">
        <v>8</v>
      </c>
      <c r="AF225">
        <v>5</v>
      </c>
      <c r="AG225">
        <v>6</v>
      </c>
      <c r="AH225">
        <f>COUNTA(OfficeForms.Table[[#This Row],[pnuw_walktrails]:[pnuw_restspots]])</f>
        <v>8</v>
      </c>
      <c r="AI225" s="4" t="s">
        <v>604</v>
      </c>
      <c r="AJ225" s="4" t="s">
        <v>88</v>
      </c>
      <c r="AK225" s="4" t="s">
        <v>59</v>
      </c>
      <c r="AL225" s="4" t="s">
        <v>60</v>
      </c>
      <c r="AM225" s="4"/>
      <c r="AN225" s="4" t="s">
        <v>61</v>
      </c>
      <c r="AO225" s="4"/>
      <c r="AP225" s="4" t="s">
        <v>59</v>
      </c>
      <c r="AQ225" s="4" t="s">
        <v>627</v>
      </c>
      <c r="AR225" s="4" t="s">
        <v>61</v>
      </c>
      <c r="AS225" s="4"/>
      <c r="AT225" s="4" t="s">
        <v>63</v>
      </c>
      <c r="AU225" s="4" t="s">
        <v>73</v>
      </c>
      <c r="AV225" s="4" t="s">
        <v>65</v>
      </c>
      <c r="AW225" s="4" t="s">
        <v>623</v>
      </c>
      <c r="AX225" s="4" t="s">
        <v>624</v>
      </c>
      <c r="AY225" s="5"/>
    </row>
    <row r="226" spans="1:51" hidden="1" x14ac:dyDescent="0.3">
      <c r="A226">
        <v>225</v>
      </c>
      <c r="B226" s="3">
        <v>45926.489571759303</v>
      </c>
      <c r="C226" s="3">
        <v>45926.490798611099</v>
      </c>
      <c r="D226" s="4" t="s">
        <v>49</v>
      </c>
      <c r="E226" s="4" t="s">
        <v>50</v>
      </c>
      <c r="F226" s="5" t="s">
        <v>628</v>
      </c>
      <c r="G226" s="4" t="s">
        <v>132</v>
      </c>
      <c r="H226" s="2">
        <v>45912</v>
      </c>
      <c r="I226" s="4" t="s">
        <v>53</v>
      </c>
      <c r="J226" s="4" t="s">
        <v>54</v>
      </c>
      <c r="K226" s="4" t="s">
        <v>103</v>
      </c>
      <c r="L226" s="4" t="s">
        <v>86</v>
      </c>
      <c r="M226">
        <v>12</v>
      </c>
      <c r="N226">
        <v>8</v>
      </c>
      <c r="O226">
        <v>2</v>
      </c>
      <c r="P226">
        <v>1</v>
      </c>
      <c r="Q226">
        <v>11</v>
      </c>
      <c r="R226">
        <v>3</v>
      </c>
      <c r="S226">
        <v>4</v>
      </c>
      <c r="T226">
        <v>5</v>
      </c>
      <c r="U226">
        <v>9</v>
      </c>
      <c r="V226">
        <v>10</v>
      </c>
      <c r="W226">
        <v>7</v>
      </c>
      <c r="X226">
        <v>6</v>
      </c>
      <c r="Y226">
        <f>COUNTA(OfficeForms.Table[[#This Row],[elements_shelters]:[elements_restspots]])</f>
        <v>12</v>
      </c>
      <c r="Z226">
        <v>3</v>
      </c>
      <c r="AA226">
        <v>5</v>
      </c>
      <c r="AB226">
        <v>4</v>
      </c>
      <c r="AC226">
        <v>2</v>
      </c>
      <c r="AD226">
        <v>6</v>
      </c>
      <c r="AE226">
        <v>8</v>
      </c>
      <c r="AF226">
        <v>7</v>
      </c>
      <c r="AG226">
        <v>1</v>
      </c>
      <c r="AH226">
        <f>COUNTA(OfficeForms.Table[[#This Row],[pnuw_walktrails]:[pnuw_restspots]])</f>
        <v>8</v>
      </c>
      <c r="AI226" s="4" t="s">
        <v>629</v>
      </c>
      <c r="AJ226" s="4" t="s">
        <v>80</v>
      </c>
      <c r="AK226" s="4" t="s">
        <v>60</v>
      </c>
      <c r="AL226" s="4"/>
      <c r="AM226" s="4"/>
      <c r="AN226" s="4"/>
      <c r="AO226" s="4"/>
      <c r="AP226" s="4"/>
      <c r="AQ226" s="4"/>
      <c r="AR226" s="4"/>
      <c r="AS226" s="4"/>
      <c r="AT226" s="4" t="s">
        <v>81</v>
      </c>
      <c r="AU226" s="4" t="s">
        <v>73</v>
      </c>
      <c r="AV226" s="4" t="s">
        <v>74</v>
      </c>
      <c r="AW226" s="4" t="s">
        <v>148</v>
      </c>
      <c r="AX226" s="4" t="s">
        <v>67</v>
      </c>
      <c r="AY226" s="5"/>
    </row>
    <row r="227" spans="1:51" hidden="1" x14ac:dyDescent="0.3">
      <c r="A227">
        <v>226</v>
      </c>
      <c r="B227" s="3">
        <v>45926.490902777798</v>
      </c>
      <c r="C227" s="3">
        <v>45926.4920486111</v>
      </c>
      <c r="D227" s="4" t="s">
        <v>49</v>
      </c>
      <c r="E227" s="4" t="s">
        <v>50</v>
      </c>
      <c r="F227" s="5" t="s">
        <v>630</v>
      </c>
      <c r="G227" s="4" t="s">
        <v>132</v>
      </c>
      <c r="H227" s="2">
        <v>45912</v>
      </c>
      <c r="I227" s="4" t="s">
        <v>53</v>
      </c>
      <c r="J227" s="4" t="s">
        <v>54</v>
      </c>
      <c r="K227" s="4" t="s">
        <v>103</v>
      </c>
      <c r="L227" s="4" t="s">
        <v>86</v>
      </c>
      <c r="M227">
        <v>12</v>
      </c>
      <c r="N227">
        <v>7</v>
      </c>
      <c r="O227">
        <v>8</v>
      </c>
      <c r="P227">
        <v>1</v>
      </c>
      <c r="Q227">
        <v>11</v>
      </c>
      <c r="R227">
        <v>3</v>
      </c>
      <c r="S227">
        <v>2</v>
      </c>
      <c r="T227">
        <v>9</v>
      </c>
      <c r="U227">
        <v>5</v>
      </c>
      <c r="V227">
        <v>10</v>
      </c>
      <c r="W227">
        <v>6</v>
      </c>
      <c r="X227">
        <v>4</v>
      </c>
      <c r="Y227">
        <f>COUNTA(OfficeForms.Table[[#This Row],[elements_shelters]:[elements_restspots]])</f>
        <v>12</v>
      </c>
      <c r="Z227">
        <v>4</v>
      </c>
      <c r="AA227">
        <v>6</v>
      </c>
      <c r="AB227">
        <v>5</v>
      </c>
      <c r="AC227">
        <v>2</v>
      </c>
      <c r="AD227">
        <v>8</v>
      </c>
      <c r="AE227">
        <v>7</v>
      </c>
      <c r="AF227">
        <v>3</v>
      </c>
      <c r="AG227">
        <v>1</v>
      </c>
      <c r="AH227">
        <f>COUNTA(OfficeForms.Table[[#This Row],[pnuw_walktrails]:[pnuw_restspots]])</f>
        <v>8</v>
      </c>
      <c r="AI227" s="4" t="s">
        <v>631</v>
      </c>
      <c r="AJ227" s="4" t="s">
        <v>72</v>
      </c>
      <c r="AK227" s="4" t="s">
        <v>60</v>
      </c>
      <c r="AL227" s="4"/>
      <c r="AM227" s="4"/>
      <c r="AN227" s="4"/>
      <c r="AO227" s="4"/>
      <c r="AP227" s="4"/>
      <c r="AQ227" s="4"/>
      <c r="AR227" s="4"/>
      <c r="AS227" s="4"/>
      <c r="AT227" s="4" t="s">
        <v>63</v>
      </c>
      <c r="AU227" s="4" t="s">
        <v>73</v>
      </c>
      <c r="AV227" s="4" t="s">
        <v>74</v>
      </c>
      <c r="AW227" s="4" t="s">
        <v>148</v>
      </c>
      <c r="AX227" s="4" t="s">
        <v>67</v>
      </c>
      <c r="AY227" s="5"/>
    </row>
    <row r="228" spans="1:51" hidden="1" x14ac:dyDescent="0.3">
      <c r="A228">
        <v>227</v>
      </c>
      <c r="B228" s="3">
        <v>45926.492071759298</v>
      </c>
      <c r="C228" s="3">
        <v>45926.526377314804</v>
      </c>
      <c r="D228" s="4" t="s">
        <v>49</v>
      </c>
      <c r="E228" s="4" t="s">
        <v>50</v>
      </c>
      <c r="F228" s="5" t="s">
        <v>632</v>
      </c>
      <c r="G228" s="4" t="s">
        <v>132</v>
      </c>
      <c r="H228" s="2">
        <v>45912</v>
      </c>
      <c r="I228" s="4" t="s">
        <v>53</v>
      </c>
      <c r="J228" s="4" t="s">
        <v>85</v>
      </c>
      <c r="K228" s="4" t="s">
        <v>215</v>
      </c>
      <c r="L228" s="4" t="s">
        <v>56</v>
      </c>
      <c r="M228">
        <v>11</v>
      </c>
      <c r="N228">
        <v>1</v>
      </c>
      <c r="O228">
        <v>3</v>
      </c>
      <c r="P228">
        <v>2</v>
      </c>
      <c r="Q228">
        <v>12</v>
      </c>
      <c r="R228">
        <v>8</v>
      </c>
      <c r="S228">
        <v>5</v>
      </c>
      <c r="T228">
        <v>4</v>
      </c>
      <c r="U228">
        <v>6</v>
      </c>
      <c r="V228">
        <v>10</v>
      </c>
      <c r="W228">
        <v>7</v>
      </c>
      <c r="X228">
        <v>9</v>
      </c>
      <c r="Y228">
        <f>COUNTA(OfficeForms.Table[[#This Row],[elements_shelters]:[elements_restspots]])</f>
        <v>12</v>
      </c>
      <c r="Z228">
        <v>5</v>
      </c>
      <c r="AA228">
        <v>4</v>
      </c>
      <c r="AB228">
        <v>6</v>
      </c>
      <c r="AC228">
        <v>2</v>
      </c>
      <c r="AD228">
        <v>3</v>
      </c>
      <c r="AE228">
        <v>8</v>
      </c>
      <c r="AF228">
        <v>1</v>
      </c>
      <c r="AG228">
        <v>7</v>
      </c>
      <c r="AH228">
        <f>COUNTA(OfficeForms.Table[[#This Row],[pnuw_walktrails]:[pnuw_restspots]])</f>
        <v>8</v>
      </c>
      <c r="AI228" s="4" t="s">
        <v>117</v>
      </c>
      <c r="AJ228" s="4" t="s">
        <v>88</v>
      </c>
      <c r="AK228" s="4" t="s">
        <v>59</v>
      </c>
      <c r="AL228" s="4" t="s">
        <v>60</v>
      </c>
      <c r="AM228" s="4"/>
      <c r="AN228" s="4" t="s">
        <v>61</v>
      </c>
      <c r="AO228" s="4"/>
      <c r="AP228" s="4" t="s">
        <v>59</v>
      </c>
      <c r="AQ228" s="4" t="s">
        <v>273</v>
      </c>
      <c r="AR228" s="4" t="s">
        <v>61</v>
      </c>
      <c r="AS228" s="4"/>
      <c r="AT228" s="4" t="s">
        <v>81</v>
      </c>
      <c r="AU228" s="4" t="s">
        <v>64</v>
      </c>
      <c r="AV228" s="4" t="s">
        <v>65</v>
      </c>
      <c r="AW228" s="4" t="s">
        <v>95</v>
      </c>
      <c r="AX228" s="4" t="s">
        <v>95</v>
      </c>
      <c r="AY228" s="5"/>
    </row>
    <row r="229" spans="1:51" hidden="1" x14ac:dyDescent="0.3">
      <c r="A229">
        <v>228</v>
      </c>
      <c r="B229" s="3">
        <v>45926.526400463001</v>
      </c>
      <c r="C229" s="3">
        <v>45926.528356481504</v>
      </c>
      <c r="D229" s="4" t="s">
        <v>49</v>
      </c>
      <c r="E229" s="4" t="s">
        <v>50</v>
      </c>
      <c r="F229" s="5" t="s">
        <v>633</v>
      </c>
      <c r="G229" s="4" t="s">
        <v>132</v>
      </c>
      <c r="H229" s="2">
        <v>45912</v>
      </c>
      <c r="I229" s="4" t="s">
        <v>53</v>
      </c>
      <c r="J229" s="4" t="s">
        <v>85</v>
      </c>
      <c r="K229" s="4" t="s">
        <v>634</v>
      </c>
      <c r="L229" s="4" t="s">
        <v>56</v>
      </c>
      <c r="M229">
        <v>11</v>
      </c>
      <c r="N229">
        <v>1</v>
      </c>
      <c r="O229">
        <v>4</v>
      </c>
      <c r="P229">
        <v>2</v>
      </c>
      <c r="Q229">
        <v>12</v>
      </c>
      <c r="R229">
        <v>8</v>
      </c>
      <c r="S229">
        <v>5</v>
      </c>
      <c r="T229">
        <v>6</v>
      </c>
      <c r="U229">
        <v>7</v>
      </c>
      <c r="V229">
        <v>10</v>
      </c>
      <c r="W229">
        <v>3</v>
      </c>
      <c r="X229">
        <v>9</v>
      </c>
      <c r="Y229">
        <f>COUNTA(OfficeForms.Table[[#This Row],[elements_shelters]:[elements_restspots]])</f>
        <v>12</v>
      </c>
      <c r="Z229">
        <v>2</v>
      </c>
      <c r="AA229">
        <v>4</v>
      </c>
      <c r="AB229">
        <v>3</v>
      </c>
      <c r="AC229">
        <v>5</v>
      </c>
      <c r="AD229">
        <v>7</v>
      </c>
      <c r="AE229">
        <v>8</v>
      </c>
      <c r="AF229">
        <v>1</v>
      </c>
      <c r="AG229">
        <v>6</v>
      </c>
      <c r="AH229">
        <f>COUNTA(OfficeForms.Table[[#This Row],[pnuw_walktrails]:[pnuw_restspots]])</f>
        <v>8</v>
      </c>
      <c r="AI229" s="4" t="s">
        <v>635</v>
      </c>
      <c r="AJ229" s="4" t="s">
        <v>88</v>
      </c>
      <c r="AK229" s="4" t="s">
        <v>59</v>
      </c>
      <c r="AL229" s="4" t="s">
        <v>59</v>
      </c>
      <c r="AM229" s="4" t="s">
        <v>636</v>
      </c>
      <c r="AN229" s="4" t="s">
        <v>61</v>
      </c>
      <c r="AO229" s="4"/>
      <c r="AP229" s="4" t="s">
        <v>59</v>
      </c>
      <c r="AQ229" s="4" t="s">
        <v>391</v>
      </c>
      <c r="AR229" s="4" t="s">
        <v>61</v>
      </c>
      <c r="AS229" s="4"/>
      <c r="AT229" s="4" t="s">
        <v>63</v>
      </c>
      <c r="AU229" s="4" t="s">
        <v>64</v>
      </c>
      <c r="AV229" s="4" t="s">
        <v>65</v>
      </c>
      <c r="AW229" s="4" t="s">
        <v>95</v>
      </c>
      <c r="AX229" s="4" t="s">
        <v>95</v>
      </c>
      <c r="AY229" s="5"/>
    </row>
    <row r="230" spans="1:51" hidden="1" x14ac:dyDescent="0.3">
      <c r="A230">
        <v>229</v>
      </c>
      <c r="B230" s="3">
        <v>45926.5296296296</v>
      </c>
      <c r="C230" s="3">
        <v>45926.5296759259</v>
      </c>
      <c r="D230" s="4" t="s">
        <v>49</v>
      </c>
      <c r="E230" s="4" t="s">
        <v>50</v>
      </c>
      <c r="F230" s="5" t="s">
        <v>637</v>
      </c>
      <c r="G230" s="4" t="s">
        <v>132</v>
      </c>
      <c r="H230" s="2">
        <v>45913</v>
      </c>
      <c r="I230" s="4" t="s">
        <v>53</v>
      </c>
      <c r="J230" s="4" t="s">
        <v>54</v>
      </c>
      <c r="K230" s="4" t="s">
        <v>55</v>
      </c>
      <c r="L230" s="4" t="s">
        <v>56</v>
      </c>
      <c r="M230">
        <v>6</v>
      </c>
      <c r="N230">
        <v>1</v>
      </c>
      <c r="O230">
        <v>5</v>
      </c>
      <c r="P230">
        <v>2</v>
      </c>
      <c r="Q230">
        <v>7</v>
      </c>
      <c r="R230">
        <v>3</v>
      </c>
      <c r="S230">
        <v>11</v>
      </c>
      <c r="T230">
        <v>9</v>
      </c>
      <c r="U230">
        <v>10</v>
      </c>
      <c r="V230">
        <v>12</v>
      </c>
      <c r="W230">
        <v>8</v>
      </c>
      <c r="X230">
        <v>4</v>
      </c>
      <c r="Y230">
        <f>COUNTA(OfficeForms.Table[[#This Row],[elements_shelters]:[elements_restspots]])</f>
        <v>12</v>
      </c>
      <c r="Z230">
        <v>1</v>
      </c>
      <c r="AA230">
        <v>2</v>
      </c>
      <c r="AB230">
        <v>4</v>
      </c>
      <c r="AC230">
        <v>3</v>
      </c>
      <c r="AD230">
        <v>8</v>
      </c>
      <c r="AE230">
        <v>7</v>
      </c>
      <c r="AF230">
        <v>6</v>
      </c>
      <c r="AG230">
        <v>5</v>
      </c>
      <c r="AH230">
        <f>COUNTA(OfficeForms.Table[[#This Row],[pnuw_walktrails]:[pnuw_restspots]])</f>
        <v>8</v>
      </c>
      <c r="AI230" s="4" t="s">
        <v>604</v>
      </c>
      <c r="AJ230" s="4" t="s">
        <v>80</v>
      </c>
      <c r="AK230" s="4" t="s">
        <v>60</v>
      </c>
      <c r="AL230" s="4"/>
      <c r="AM230" s="4"/>
      <c r="AN230" s="4"/>
      <c r="AO230" s="4"/>
      <c r="AP230" s="4"/>
      <c r="AQ230" s="4"/>
      <c r="AR230" s="4"/>
      <c r="AS230" s="4"/>
      <c r="AT230" s="4" t="s">
        <v>63</v>
      </c>
      <c r="AU230" s="4" t="s">
        <v>73</v>
      </c>
      <c r="AV230" s="4" t="s">
        <v>125</v>
      </c>
      <c r="AW230" s="4" t="s">
        <v>83</v>
      </c>
      <c r="AX230" s="4" t="s">
        <v>67</v>
      </c>
      <c r="AY230" s="5"/>
    </row>
    <row r="231" spans="1:51" hidden="1" x14ac:dyDescent="0.3">
      <c r="A231">
        <v>230</v>
      </c>
      <c r="B231" s="3">
        <v>45926.529687499999</v>
      </c>
      <c r="C231" s="3">
        <v>45926.5309837963</v>
      </c>
      <c r="D231" s="4" t="s">
        <v>49</v>
      </c>
      <c r="E231" s="4" t="s">
        <v>50</v>
      </c>
      <c r="F231" s="5" t="s">
        <v>638</v>
      </c>
      <c r="G231" s="4" t="s">
        <v>132</v>
      </c>
      <c r="H231" s="2">
        <v>45913</v>
      </c>
      <c r="I231" s="4" t="s">
        <v>53</v>
      </c>
      <c r="J231" s="4" t="s">
        <v>85</v>
      </c>
      <c r="K231" s="4" t="s">
        <v>639</v>
      </c>
      <c r="L231" s="4" t="s">
        <v>56</v>
      </c>
      <c r="M231">
        <v>12</v>
      </c>
      <c r="N231">
        <v>1</v>
      </c>
      <c r="O231">
        <v>8</v>
      </c>
      <c r="P231">
        <v>2</v>
      </c>
      <c r="Q231">
        <v>11</v>
      </c>
      <c r="R231">
        <v>5</v>
      </c>
      <c r="S231">
        <v>7</v>
      </c>
      <c r="T231">
        <v>6</v>
      </c>
      <c r="U231">
        <v>10</v>
      </c>
      <c r="V231">
        <v>9</v>
      </c>
      <c r="W231">
        <v>3</v>
      </c>
      <c r="X231">
        <v>4</v>
      </c>
      <c r="Y231">
        <f>COUNTA(OfficeForms.Table[[#This Row],[elements_shelters]:[elements_restspots]])</f>
        <v>12</v>
      </c>
      <c r="Z231">
        <v>1</v>
      </c>
      <c r="AA231">
        <v>2</v>
      </c>
      <c r="AB231">
        <v>3</v>
      </c>
      <c r="AC231">
        <v>7</v>
      </c>
      <c r="AD231">
        <v>4</v>
      </c>
      <c r="AE231">
        <v>6</v>
      </c>
      <c r="AF231">
        <v>8</v>
      </c>
      <c r="AG231">
        <v>5</v>
      </c>
      <c r="AH231">
        <f>COUNTA(OfficeForms.Table[[#This Row],[pnuw_walktrails]:[pnuw_restspots]])</f>
        <v>8</v>
      </c>
      <c r="AI231" s="4" t="s">
        <v>117</v>
      </c>
      <c r="AJ231" s="4" t="s">
        <v>88</v>
      </c>
      <c r="AK231" s="4" t="s">
        <v>60</v>
      </c>
      <c r="AL231" s="4"/>
      <c r="AM231" s="4"/>
      <c r="AN231" s="4"/>
      <c r="AO231" s="4"/>
      <c r="AP231" s="4"/>
      <c r="AQ231" s="4"/>
      <c r="AR231" s="4"/>
      <c r="AS231" s="4"/>
      <c r="AT231" s="4" t="s">
        <v>81</v>
      </c>
      <c r="AU231" s="4" t="s">
        <v>73</v>
      </c>
      <c r="AV231" s="4" t="s">
        <v>125</v>
      </c>
      <c r="AW231" s="4" t="s">
        <v>66</v>
      </c>
      <c r="AX231" s="4" t="s">
        <v>67</v>
      </c>
      <c r="AY231" s="5"/>
    </row>
    <row r="232" spans="1:51" hidden="1" x14ac:dyDescent="0.3">
      <c r="A232">
        <v>231</v>
      </c>
      <c r="B232" s="3">
        <v>45926.530995370398</v>
      </c>
      <c r="C232" s="3">
        <v>45926.541250000002</v>
      </c>
      <c r="D232" s="4" t="s">
        <v>49</v>
      </c>
      <c r="E232" s="4" t="s">
        <v>50</v>
      </c>
      <c r="F232" s="5" t="s">
        <v>640</v>
      </c>
      <c r="G232" s="4" t="s">
        <v>132</v>
      </c>
      <c r="H232" s="2">
        <v>45913</v>
      </c>
      <c r="I232" s="4" t="s">
        <v>53</v>
      </c>
      <c r="J232" s="4" t="s">
        <v>85</v>
      </c>
      <c r="K232" s="4" t="s">
        <v>78</v>
      </c>
      <c r="L232" s="4" t="s">
        <v>56</v>
      </c>
      <c r="M232">
        <v>10</v>
      </c>
      <c r="N232">
        <v>1</v>
      </c>
      <c r="O232">
        <v>6</v>
      </c>
      <c r="P232">
        <v>2</v>
      </c>
      <c r="Q232">
        <v>11</v>
      </c>
      <c r="R232">
        <v>8</v>
      </c>
      <c r="S232">
        <v>5</v>
      </c>
      <c r="T232">
        <v>3</v>
      </c>
      <c r="U232">
        <v>4</v>
      </c>
      <c r="V232">
        <v>12</v>
      </c>
      <c r="W232">
        <v>7</v>
      </c>
      <c r="X232">
        <v>9</v>
      </c>
      <c r="Y232">
        <f>COUNTA(OfficeForms.Table[[#This Row],[elements_shelters]:[elements_restspots]])</f>
        <v>12</v>
      </c>
      <c r="AH232">
        <f>COUNTA(OfficeForms.Table[[#This Row],[pnuw_walktrails]:[pnuw_restspots]])</f>
        <v>0</v>
      </c>
      <c r="AI232" s="4" t="s">
        <v>641</v>
      </c>
      <c r="AJ232" s="4" t="s">
        <v>80</v>
      </c>
      <c r="AK232" s="4" t="s">
        <v>60</v>
      </c>
      <c r="AL232" s="4"/>
      <c r="AM232" s="4"/>
      <c r="AN232" s="4"/>
      <c r="AO232" s="4"/>
      <c r="AP232" s="4"/>
      <c r="AQ232" s="4"/>
      <c r="AR232" s="4"/>
      <c r="AS232" s="4"/>
      <c r="AT232" s="4" t="s">
        <v>63</v>
      </c>
      <c r="AU232" s="4" t="s">
        <v>73</v>
      </c>
      <c r="AV232" s="4" t="s">
        <v>74</v>
      </c>
      <c r="AW232" s="4" t="s">
        <v>144</v>
      </c>
      <c r="AX232" s="4" t="s">
        <v>144</v>
      </c>
      <c r="AY232" s="5"/>
    </row>
    <row r="233" spans="1:51" hidden="1" x14ac:dyDescent="0.3">
      <c r="A233">
        <v>232</v>
      </c>
      <c r="B233" s="3">
        <v>45926.541261574101</v>
      </c>
      <c r="C233" s="3">
        <v>45926.542407407404</v>
      </c>
      <c r="D233" s="4" t="s">
        <v>49</v>
      </c>
      <c r="E233" s="4" t="s">
        <v>50</v>
      </c>
      <c r="F233" s="5" t="s">
        <v>642</v>
      </c>
      <c r="G233" s="4" t="s">
        <v>132</v>
      </c>
      <c r="H233" s="2">
        <v>45913</v>
      </c>
      <c r="I233" s="4" t="s">
        <v>53</v>
      </c>
      <c r="J233" s="4" t="s">
        <v>54</v>
      </c>
      <c r="K233" s="4" t="s">
        <v>78</v>
      </c>
      <c r="L233" s="4" t="s">
        <v>56</v>
      </c>
      <c r="M233">
        <v>10</v>
      </c>
      <c r="N233">
        <v>1</v>
      </c>
      <c r="O233">
        <v>2</v>
      </c>
      <c r="P233">
        <v>3</v>
      </c>
      <c r="Q233">
        <v>12</v>
      </c>
      <c r="R233">
        <v>6</v>
      </c>
      <c r="S233">
        <v>7</v>
      </c>
      <c r="T233">
        <v>9</v>
      </c>
      <c r="U233">
        <v>8</v>
      </c>
      <c r="V233">
        <v>11</v>
      </c>
      <c r="W233">
        <v>4</v>
      </c>
      <c r="X233">
        <v>7</v>
      </c>
      <c r="Y233">
        <f>COUNTA(OfficeForms.Table[[#This Row],[elements_shelters]:[elements_restspots]])</f>
        <v>12</v>
      </c>
      <c r="Z233">
        <v>1</v>
      </c>
      <c r="AA233">
        <v>2</v>
      </c>
      <c r="AB233">
        <v>8</v>
      </c>
      <c r="AC233">
        <v>6</v>
      </c>
      <c r="AD233">
        <v>4</v>
      </c>
      <c r="AE233">
        <v>5</v>
      </c>
      <c r="AF233">
        <v>3</v>
      </c>
      <c r="AG233">
        <v>7</v>
      </c>
      <c r="AH233">
        <f>COUNTA(OfficeForms.Table[[#This Row],[pnuw_walktrails]:[pnuw_restspots]])</f>
        <v>8</v>
      </c>
      <c r="AI233" s="4" t="s">
        <v>117</v>
      </c>
      <c r="AJ233" s="4" t="s">
        <v>88</v>
      </c>
      <c r="AK233" s="4" t="s">
        <v>60</v>
      </c>
      <c r="AL233" s="4"/>
      <c r="AM233" s="4"/>
      <c r="AN233" s="4"/>
      <c r="AO233" s="4"/>
      <c r="AP233" s="4"/>
      <c r="AQ233" s="4"/>
      <c r="AR233" s="4"/>
      <c r="AS233" s="4"/>
      <c r="AT233" s="4" t="s">
        <v>63</v>
      </c>
      <c r="AU233" s="4" t="s">
        <v>73</v>
      </c>
      <c r="AV233" s="4" t="s">
        <v>74</v>
      </c>
      <c r="AW233" s="4" t="s">
        <v>95</v>
      </c>
      <c r="AX233" s="4" t="s">
        <v>95</v>
      </c>
      <c r="AY233" s="5"/>
    </row>
    <row r="234" spans="1:51" hidden="1" x14ac:dyDescent="0.3">
      <c r="A234">
        <v>233</v>
      </c>
      <c r="B234" s="3">
        <v>45926.542430555601</v>
      </c>
      <c r="C234" s="3">
        <v>45926.543449074103</v>
      </c>
      <c r="D234" s="4" t="s">
        <v>49</v>
      </c>
      <c r="E234" s="4" t="s">
        <v>50</v>
      </c>
      <c r="F234" s="5" t="s">
        <v>643</v>
      </c>
      <c r="G234" s="4" t="s">
        <v>132</v>
      </c>
      <c r="H234" s="2">
        <v>45913</v>
      </c>
      <c r="I234" s="4" t="s">
        <v>53</v>
      </c>
      <c r="J234" s="4" t="s">
        <v>54</v>
      </c>
      <c r="K234" s="4" t="s">
        <v>78</v>
      </c>
      <c r="L234" s="4" t="s">
        <v>86</v>
      </c>
      <c r="M234">
        <v>3</v>
      </c>
      <c r="N234">
        <v>2</v>
      </c>
      <c r="O234">
        <v>1</v>
      </c>
      <c r="P234">
        <v>4</v>
      </c>
      <c r="Q234">
        <v>12</v>
      </c>
      <c r="R234">
        <v>5</v>
      </c>
      <c r="S234">
        <v>8</v>
      </c>
      <c r="T234">
        <v>9</v>
      </c>
      <c r="U234">
        <v>10</v>
      </c>
      <c r="V234">
        <v>11</v>
      </c>
      <c r="W234">
        <v>6</v>
      </c>
      <c r="X234">
        <v>7</v>
      </c>
      <c r="Y234">
        <f>COUNTA(OfficeForms.Table[[#This Row],[elements_shelters]:[elements_restspots]])</f>
        <v>12</v>
      </c>
      <c r="Z234">
        <v>1</v>
      </c>
      <c r="AA234">
        <v>2</v>
      </c>
      <c r="AB234">
        <v>3</v>
      </c>
      <c r="AC234">
        <v>4</v>
      </c>
      <c r="AD234">
        <v>6</v>
      </c>
      <c r="AE234">
        <v>8</v>
      </c>
      <c r="AF234">
        <v>7</v>
      </c>
      <c r="AG234">
        <v>5</v>
      </c>
      <c r="AH234">
        <f>COUNTA(OfficeForms.Table[[#This Row],[pnuw_walktrails]:[pnuw_restspots]])</f>
        <v>8</v>
      </c>
      <c r="AI234" s="4" t="s">
        <v>117</v>
      </c>
      <c r="AJ234" s="4" t="s">
        <v>88</v>
      </c>
      <c r="AK234" s="4" t="s">
        <v>60</v>
      </c>
      <c r="AL234" s="4"/>
      <c r="AM234" s="4"/>
      <c r="AN234" s="4"/>
      <c r="AO234" s="4"/>
      <c r="AP234" s="4"/>
      <c r="AQ234" s="4"/>
      <c r="AR234" s="4"/>
      <c r="AS234" s="4"/>
      <c r="AT234" s="4" t="s">
        <v>63</v>
      </c>
      <c r="AU234" s="4" t="s">
        <v>73</v>
      </c>
      <c r="AV234" s="4" t="s">
        <v>82</v>
      </c>
      <c r="AW234" s="4" t="s">
        <v>95</v>
      </c>
      <c r="AX234" s="4" t="s">
        <v>95</v>
      </c>
      <c r="AY234" s="5"/>
    </row>
    <row r="235" spans="1:51" hidden="1" x14ac:dyDescent="0.3">
      <c r="A235">
        <v>234</v>
      </c>
      <c r="B235" s="3">
        <v>45926.543472222198</v>
      </c>
      <c r="C235" s="3">
        <v>45926.544664351903</v>
      </c>
      <c r="D235" s="4" t="s">
        <v>49</v>
      </c>
      <c r="E235" s="4" t="s">
        <v>50</v>
      </c>
      <c r="F235" s="5" t="s">
        <v>644</v>
      </c>
      <c r="G235" s="4" t="s">
        <v>132</v>
      </c>
      <c r="H235" s="2">
        <v>45913</v>
      </c>
      <c r="I235" s="4" t="s">
        <v>53</v>
      </c>
      <c r="J235" s="4" t="s">
        <v>69</v>
      </c>
      <c r="K235" s="4" t="s">
        <v>78</v>
      </c>
      <c r="L235" s="4" t="s">
        <v>56</v>
      </c>
      <c r="M235">
        <v>6</v>
      </c>
      <c r="N235">
        <v>1</v>
      </c>
      <c r="O235">
        <v>2</v>
      </c>
      <c r="P235">
        <v>3</v>
      </c>
      <c r="Q235">
        <v>4</v>
      </c>
      <c r="R235">
        <v>5</v>
      </c>
      <c r="S235">
        <v>7</v>
      </c>
      <c r="T235">
        <v>8</v>
      </c>
      <c r="U235">
        <v>9</v>
      </c>
      <c r="V235">
        <v>10</v>
      </c>
      <c r="W235">
        <v>11</v>
      </c>
      <c r="X235">
        <v>12</v>
      </c>
      <c r="Y235">
        <f>COUNTA(OfficeForms.Table[[#This Row],[elements_shelters]:[elements_restspots]])</f>
        <v>12</v>
      </c>
      <c r="Z235">
        <v>1</v>
      </c>
      <c r="AA235">
        <v>3</v>
      </c>
      <c r="AB235">
        <v>2</v>
      </c>
      <c r="AC235">
        <v>4</v>
      </c>
      <c r="AD235">
        <v>5</v>
      </c>
      <c r="AE235">
        <v>8</v>
      </c>
      <c r="AF235">
        <v>6</v>
      </c>
      <c r="AG235">
        <v>7</v>
      </c>
      <c r="AH235">
        <f>COUNTA(OfficeForms.Table[[#This Row],[pnuw_walktrails]:[pnuw_restspots]])</f>
        <v>8</v>
      </c>
      <c r="AI235" s="4" t="s">
        <v>117</v>
      </c>
      <c r="AJ235" s="4" t="s">
        <v>88</v>
      </c>
      <c r="AK235" s="4" t="s">
        <v>60</v>
      </c>
      <c r="AL235" s="4"/>
      <c r="AM235" s="4"/>
      <c r="AN235" s="4"/>
      <c r="AO235" s="4"/>
      <c r="AP235" s="4"/>
      <c r="AQ235" s="4"/>
      <c r="AR235" s="4"/>
      <c r="AS235" s="4"/>
      <c r="AT235" s="4" t="s">
        <v>63</v>
      </c>
      <c r="AU235" s="4" t="s">
        <v>73</v>
      </c>
      <c r="AV235" s="4" t="s">
        <v>74</v>
      </c>
      <c r="AW235" s="4" t="s">
        <v>394</v>
      </c>
      <c r="AX235" s="4" t="s">
        <v>394</v>
      </c>
      <c r="AY235" s="5"/>
    </row>
    <row r="236" spans="1:51" hidden="1" x14ac:dyDescent="0.3">
      <c r="A236">
        <v>235</v>
      </c>
      <c r="B236" s="3">
        <v>45926.544687499998</v>
      </c>
      <c r="C236" s="3">
        <v>45926.5457060185</v>
      </c>
      <c r="D236" s="4" t="s">
        <v>49</v>
      </c>
      <c r="E236" s="4" t="s">
        <v>50</v>
      </c>
      <c r="F236" s="5" t="s">
        <v>645</v>
      </c>
      <c r="G236" s="4" t="s">
        <v>132</v>
      </c>
      <c r="H236" s="2">
        <v>45913</v>
      </c>
      <c r="I236" s="4" t="s">
        <v>53</v>
      </c>
      <c r="J236" s="4" t="s">
        <v>54</v>
      </c>
      <c r="K236" s="4" t="s">
        <v>78</v>
      </c>
      <c r="L236" s="4" t="s">
        <v>56</v>
      </c>
      <c r="M236">
        <v>10</v>
      </c>
      <c r="N236">
        <v>2</v>
      </c>
      <c r="O236">
        <v>3</v>
      </c>
      <c r="P236">
        <v>7</v>
      </c>
      <c r="Q236">
        <v>11</v>
      </c>
      <c r="R236">
        <v>6</v>
      </c>
      <c r="S236">
        <v>1</v>
      </c>
      <c r="T236">
        <v>8</v>
      </c>
      <c r="U236">
        <v>4</v>
      </c>
      <c r="V236">
        <v>12</v>
      </c>
      <c r="W236">
        <v>5</v>
      </c>
      <c r="X236">
        <v>9</v>
      </c>
      <c r="Y236">
        <f>COUNTA(OfficeForms.Table[[#This Row],[elements_shelters]:[elements_restspots]])</f>
        <v>12</v>
      </c>
      <c r="Z236">
        <v>2</v>
      </c>
      <c r="AA236">
        <v>1</v>
      </c>
      <c r="AB236">
        <v>7</v>
      </c>
      <c r="AC236">
        <v>3</v>
      </c>
      <c r="AD236">
        <v>6</v>
      </c>
      <c r="AE236">
        <v>8</v>
      </c>
      <c r="AF236">
        <v>4</v>
      </c>
      <c r="AG236">
        <v>5</v>
      </c>
      <c r="AH236">
        <f>COUNTA(OfficeForms.Table[[#This Row],[pnuw_walktrails]:[pnuw_restspots]])</f>
        <v>8</v>
      </c>
      <c r="AI236" s="4" t="s">
        <v>117</v>
      </c>
      <c r="AJ236" s="4" t="s">
        <v>88</v>
      </c>
      <c r="AK236" s="4" t="s">
        <v>60</v>
      </c>
      <c r="AL236" s="4"/>
      <c r="AM236" s="4"/>
      <c r="AN236" s="4"/>
      <c r="AO236" s="4"/>
      <c r="AP236" s="4"/>
      <c r="AQ236" s="4"/>
      <c r="AR236" s="4"/>
      <c r="AS236" s="4"/>
      <c r="AT236" s="4" t="s">
        <v>63</v>
      </c>
      <c r="AU236" s="4" t="s">
        <v>73</v>
      </c>
      <c r="AV236" s="4" t="s">
        <v>82</v>
      </c>
      <c r="AW236" s="4" t="s">
        <v>95</v>
      </c>
      <c r="AX236" s="4" t="s">
        <v>95</v>
      </c>
      <c r="AY236" s="5"/>
    </row>
    <row r="237" spans="1:51" hidden="1" x14ac:dyDescent="0.3">
      <c r="A237">
        <v>236</v>
      </c>
      <c r="B237" s="3">
        <v>45926.545729166697</v>
      </c>
      <c r="C237" s="3">
        <v>45926.547118055598</v>
      </c>
      <c r="D237" s="4" t="s">
        <v>49</v>
      </c>
      <c r="E237" s="4" t="s">
        <v>50</v>
      </c>
      <c r="F237" s="5" t="s">
        <v>646</v>
      </c>
      <c r="G237" s="4" t="s">
        <v>132</v>
      </c>
      <c r="H237" s="2">
        <v>45913</v>
      </c>
      <c r="I237" s="4" t="s">
        <v>53</v>
      </c>
      <c r="J237" s="4" t="s">
        <v>85</v>
      </c>
      <c r="K237" s="4" t="s">
        <v>78</v>
      </c>
      <c r="L237" s="4" t="s">
        <v>86</v>
      </c>
      <c r="M237">
        <v>12</v>
      </c>
      <c r="N237">
        <v>6</v>
      </c>
      <c r="O237">
        <v>9</v>
      </c>
      <c r="P237">
        <v>4</v>
      </c>
      <c r="Q237">
        <v>3</v>
      </c>
      <c r="R237">
        <v>2</v>
      </c>
      <c r="S237">
        <v>5</v>
      </c>
      <c r="T237">
        <v>7</v>
      </c>
      <c r="U237">
        <v>10</v>
      </c>
      <c r="V237">
        <v>11</v>
      </c>
      <c r="W237">
        <v>8</v>
      </c>
      <c r="X237">
        <v>1</v>
      </c>
      <c r="Y237">
        <f>COUNTA(OfficeForms.Table[[#This Row],[elements_shelters]:[elements_restspots]])</f>
        <v>12</v>
      </c>
      <c r="Z237">
        <v>1</v>
      </c>
      <c r="AA237">
        <v>2</v>
      </c>
      <c r="AB237">
        <v>3</v>
      </c>
      <c r="AC237">
        <v>4</v>
      </c>
      <c r="AD237">
        <v>5</v>
      </c>
      <c r="AE237">
        <v>7</v>
      </c>
      <c r="AF237">
        <v>8</v>
      </c>
      <c r="AG237">
        <v>6</v>
      </c>
      <c r="AH237">
        <f>COUNTA(OfficeForms.Table[[#This Row],[pnuw_walktrails]:[pnuw_restspots]])</f>
        <v>8</v>
      </c>
      <c r="AI237" s="4" t="s">
        <v>647</v>
      </c>
      <c r="AJ237" s="4" t="s">
        <v>72</v>
      </c>
      <c r="AK237" s="4" t="s">
        <v>60</v>
      </c>
      <c r="AL237" s="4"/>
      <c r="AM237" s="4"/>
      <c r="AN237" s="4"/>
      <c r="AO237" s="4"/>
      <c r="AP237" s="4"/>
      <c r="AQ237" s="4"/>
      <c r="AR237" s="4"/>
      <c r="AS237" s="4"/>
      <c r="AT237" s="4" t="s">
        <v>63</v>
      </c>
      <c r="AU237" s="4" t="s">
        <v>73</v>
      </c>
      <c r="AV237" s="4" t="s">
        <v>125</v>
      </c>
      <c r="AW237" s="4" t="s">
        <v>441</v>
      </c>
      <c r="AX237" s="4" t="s">
        <v>441</v>
      </c>
      <c r="AY237" s="5"/>
    </row>
    <row r="238" spans="1:51" hidden="1" x14ac:dyDescent="0.3">
      <c r="A238">
        <v>237</v>
      </c>
      <c r="B238" s="3">
        <v>45926.547129629602</v>
      </c>
      <c r="C238" s="3">
        <v>45926.5483564815</v>
      </c>
      <c r="D238" s="4" t="s">
        <v>49</v>
      </c>
      <c r="E238" s="4" t="s">
        <v>50</v>
      </c>
      <c r="F238" s="5" t="s">
        <v>648</v>
      </c>
      <c r="G238" s="4" t="s">
        <v>132</v>
      </c>
      <c r="H238" s="2">
        <v>45913</v>
      </c>
      <c r="I238" s="4" t="s">
        <v>53</v>
      </c>
      <c r="J238" s="4" t="s">
        <v>85</v>
      </c>
      <c r="K238" s="4" t="s">
        <v>78</v>
      </c>
      <c r="L238" s="4" t="s">
        <v>86</v>
      </c>
      <c r="M238">
        <v>10</v>
      </c>
      <c r="N238">
        <v>1</v>
      </c>
      <c r="O238">
        <v>3</v>
      </c>
      <c r="P238">
        <v>9</v>
      </c>
      <c r="Q238">
        <v>12</v>
      </c>
      <c r="R238">
        <v>6</v>
      </c>
      <c r="S238">
        <v>4</v>
      </c>
      <c r="T238">
        <v>5</v>
      </c>
      <c r="U238">
        <v>2</v>
      </c>
      <c r="V238">
        <v>11</v>
      </c>
      <c r="W238">
        <v>8</v>
      </c>
      <c r="X238">
        <v>7</v>
      </c>
      <c r="Y238">
        <f>COUNTA(OfficeForms.Table[[#This Row],[elements_shelters]:[elements_restspots]])</f>
        <v>12</v>
      </c>
      <c r="Z238">
        <v>1</v>
      </c>
      <c r="AA238">
        <v>4</v>
      </c>
      <c r="AB238">
        <v>8</v>
      </c>
      <c r="AC238">
        <v>2</v>
      </c>
      <c r="AD238">
        <v>3</v>
      </c>
      <c r="AE238">
        <v>6</v>
      </c>
      <c r="AF238">
        <v>7</v>
      </c>
      <c r="AG238">
        <v>5</v>
      </c>
      <c r="AH238">
        <f>COUNTA(OfficeForms.Table[[#This Row],[pnuw_walktrails]:[pnuw_restspots]])</f>
        <v>8</v>
      </c>
      <c r="AI238" s="4" t="s">
        <v>647</v>
      </c>
      <c r="AJ238" s="4" t="s">
        <v>72</v>
      </c>
      <c r="AK238" s="4" t="s">
        <v>60</v>
      </c>
      <c r="AL238" s="4"/>
      <c r="AM238" s="4"/>
      <c r="AN238" s="4"/>
      <c r="AO238" s="4"/>
      <c r="AP238" s="4"/>
      <c r="AQ238" s="4"/>
      <c r="AR238" s="4"/>
      <c r="AS238" s="4"/>
      <c r="AT238" s="4" t="s">
        <v>81</v>
      </c>
      <c r="AU238" s="4" t="s">
        <v>73</v>
      </c>
      <c r="AV238" s="4" t="s">
        <v>125</v>
      </c>
      <c r="AW238" s="4" t="s">
        <v>441</v>
      </c>
      <c r="AX238" s="4" t="s">
        <v>441</v>
      </c>
      <c r="AY238" s="5" t="s">
        <v>441</v>
      </c>
    </row>
    <row r="239" spans="1:51" hidden="1" x14ac:dyDescent="0.3">
      <c r="A239">
        <v>238</v>
      </c>
      <c r="B239" s="3">
        <v>45926.548379629603</v>
      </c>
      <c r="C239" s="3">
        <v>45926.550717592603</v>
      </c>
      <c r="D239" s="4" t="s">
        <v>49</v>
      </c>
      <c r="E239" s="4" t="s">
        <v>50</v>
      </c>
      <c r="F239" s="5" t="s">
        <v>649</v>
      </c>
      <c r="G239" s="4" t="s">
        <v>132</v>
      </c>
      <c r="H239" s="2">
        <v>45913</v>
      </c>
      <c r="I239" s="4" t="s">
        <v>53</v>
      </c>
      <c r="J239" s="4" t="s">
        <v>85</v>
      </c>
      <c r="K239" s="4" t="s">
        <v>78</v>
      </c>
      <c r="L239" s="4" t="s">
        <v>86</v>
      </c>
      <c r="M239">
        <v>12</v>
      </c>
      <c r="N239">
        <v>2</v>
      </c>
      <c r="O239">
        <v>3</v>
      </c>
      <c r="P239">
        <v>1</v>
      </c>
      <c r="Q239">
        <v>4</v>
      </c>
      <c r="R239">
        <v>5</v>
      </c>
      <c r="S239">
        <v>11</v>
      </c>
      <c r="T239">
        <v>7</v>
      </c>
      <c r="U239">
        <v>6</v>
      </c>
      <c r="V239">
        <v>10</v>
      </c>
      <c r="W239">
        <v>8</v>
      </c>
      <c r="X239">
        <v>9</v>
      </c>
      <c r="Y239">
        <f>COUNTA(OfficeForms.Table[[#This Row],[elements_shelters]:[elements_restspots]])</f>
        <v>12</v>
      </c>
      <c r="Z239">
        <v>7</v>
      </c>
      <c r="AA239">
        <v>6</v>
      </c>
      <c r="AB239">
        <v>1</v>
      </c>
      <c r="AC239">
        <v>2</v>
      </c>
      <c r="AD239">
        <v>8</v>
      </c>
      <c r="AE239">
        <v>5</v>
      </c>
      <c r="AF239">
        <v>3</v>
      </c>
      <c r="AG239">
        <v>4</v>
      </c>
      <c r="AH239">
        <f>COUNTA(OfficeForms.Table[[#This Row],[pnuw_walktrails]:[pnuw_restspots]])</f>
        <v>8</v>
      </c>
      <c r="AI239" s="4" t="s">
        <v>650</v>
      </c>
      <c r="AJ239" s="4" t="s">
        <v>72</v>
      </c>
      <c r="AK239" s="4" t="s">
        <v>60</v>
      </c>
      <c r="AL239" s="4"/>
      <c r="AM239" s="4"/>
      <c r="AN239" s="4"/>
      <c r="AO239" s="4"/>
      <c r="AP239" s="4"/>
      <c r="AQ239" s="4"/>
      <c r="AR239" s="4"/>
      <c r="AS239" s="4"/>
      <c r="AT239" s="4" t="s">
        <v>63</v>
      </c>
      <c r="AU239" s="4" t="s">
        <v>73</v>
      </c>
      <c r="AV239" s="4" t="s">
        <v>82</v>
      </c>
      <c r="AW239" s="4" t="s">
        <v>651</v>
      </c>
      <c r="AX239" s="4" t="s">
        <v>652</v>
      </c>
      <c r="AY239" s="5"/>
    </row>
    <row r="240" spans="1:51" hidden="1" x14ac:dyDescent="0.3">
      <c r="A240">
        <v>239</v>
      </c>
      <c r="B240" s="3">
        <v>45926.550740740699</v>
      </c>
      <c r="C240" s="3">
        <v>45926.551921296297</v>
      </c>
      <c r="D240" s="4" t="s">
        <v>49</v>
      </c>
      <c r="E240" s="4" t="s">
        <v>50</v>
      </c>
      <c r="F240" s="5" t="s">
        <v>653</v>
      </c>
      <c r="G240" s="4" t="s">
        <v>132</v>
      </c>
      <c r="H240" s="2">
        <v>45913</v>
      </c>
      <c r="I240" s="4" t="s">
        <v>53</v>
      </c>
      <c r="J240" s="4" t="s">
        <v>85</v>
      </c>
      <c r="K240" s="4" t="s">
        <v>55</v>
      </c>
      <c r="L240" s="4" t="s">
        <v>56</v>
      </c>
      <c r="M240">
        <v>11</v>
      </c>
      <c r="N240">
        <v>5</v>
      </c>
      <c r="O240">
        <v>6</v>
      </c>
      <c r="P240">
        <v>1</v>
      </c>
      <c r="Q240">
        <v>12</v>
      </c>
      <c r="R240">
        <v>2</v>
      </c>
      <c r="S240">
        <v>7</v>
      </c>
      <c r="T240">
        <v>8</v>
      </c>
      <c r="U240">
        <v>9</v>
      </c>
      <c r="V240">
        <v>10</v>
      </c>
      <c r="W240">
        <v>4</v>
      </c>
      <c r="X240">
        <v>3</v>
      </c>
      <c r="Y240">
        <f>COUNTA(OfficeForms.Table[[#This Row],[elements_shelters]:[elements_restspots]])</f>
        <v>12</v>
      </c>
      <c r="Z240">
        <v>6</v>
      </c>
      <c r="AA240">
        <v>5</v>
      </c>
      <c r="AB240">
        <v>1</v>
      </c>
      <c r="AC240">
        <v>2</v>
      </c>
      <c r="AD240">
        <v>7</v>
      </c>
      <c r="AE240">
        <v>8</v>
      </c>
      <c r="AF240">
        <v>4</v>
      </c>
      <c r="AG240">
        <v>3</v>
      </c>
      <c r="AH240">
        <f>COUNTA(OfficeForms.Table[[#This Row],[pnuw_walktrails]:[pnuw_restspots]])</f>
        <v>8</v>
      </c>
      <c r="AI240" s="4" t="s">
        <v>117</v>
      </c>
      <c r="AJ240" s="4" t="s">
        <v>72</v>
      </c>
      <c r="AK240" s="4" t="s">
        <v>60</v>
      </c>
      <c r="AL240" s="4"/>
      <c r="AM240" s="4"/>
      <c r="AN240" s="4"/>
      <c r="AO240" s="4"/>
      <c r="AP240" s="4"/>
      <c r="AQ240" s="4"/>
      <c r="AR240" s="4"/>
      <c r="AS240" s="4"/>
      <c r="AT240" s="4" t="s">
        <v>63</v>
      </c>
      <c r="AU240" s="4" t="s">
        <v>73</v>
      </c>
      <c r="AV240" s="4" t="s">
        <v>74</v>
      </c>
      <c r="AW240" s="4" t="s">
        <v>654</v>
      </c>
      <c r="AX240" s="4" t="s">
        <v>655</v>
      </c>
      <c r="AY240" s="5"/>
    </row>
    <row r="241" spans="1:51" hidden="1" x14ac:dyDescent="0.3">
      <c r="A241">
        <v>240</v>
      </c>
      <c r="B241" s="3">
        <v>45926.5519444444</v>
      </c>
      <c r="C241" s="3">
        <v>45926.5534259259</v>
      </c>
      <c r="D241" s="4" t="s">
        <v>49</v>
      </c>
      <c r="E241" s="4" t="s">
        <v>50</v>
      </c>
      <c r="F241" s="5" t="s">
        <v>656</v>
      </c>
      <c r="G241" s="4" t="s">
        <v>132</v>
      </c>
      <c r="H241" s="2">
        <v>45913</v>
      </c>
      <c r="I241" s="4" t="s">
        <v>53</v>
      </c>
      <c r="J241" s="4" t="s">
        <v>85</v>
      </c>
      <c r="K241" s="4" t="s">
        <v>215</v>
      </c>
      <c r="L241" s="4" t="s">
        <v>56</v>
      </c>
      <c r="M241">
        <v>12</v>
      </c>
      <c r="N241">
        <v>5</v>
      </c>
      <c r="O241">
        <v>6</v>
      </c>
      <c r="P241">
        <v>10</v>
      </c>
      <c r="Q241">
        <v>11</v>
      </c>
      <c r="R241">
        <v>1</v>
      </c>
      <c r="S241">
        <v>2</v>
      </c>
      <c r="T241">
        <v>3</v>
      </c>
      <c r="U241">
        <v>4</v>
      </c>
      <c r="V241">
        <v>7</v>
      </c>
      <c r="W241">
        <v>8</v>
      </c>
      <c r="X241">
        <v>9</v>
      </c>
      <c r="Y241">
        <f>COUNTA(OfficeForms.Table[[#This Row],[elements_shelters]:[elements_restspots]])</f>
        <v>12</v>
      </c>
      <c r="Z241">
        <v>1</v>
      </c>
      <c r="AA241">
        <v>5</v>
      </c>
      <c r="AB241">
        <v>2</v>
      </c>
      <c r="AC241">
        <v>3</v>
      </c>
      <c r="AD241">
        <v>7</v>
      </c>
      <c r="AE241">
        <v>8</v>
      </c>
      <c r="AF241">
        <v>6</v>
      </c>
      <c r="AG241">
        <v>4</v>
      </c>
      <c r="AH241">
        <f>COUNTA(OfficeForms.Table[[#This Row],[pnuw_walktrails]:[pnuw_restspots]])</f>
        <v>8</v>
      </c>
      <c r="AI241" s="4" t="s">
        <v>117</v>
      </c>
      <c r="AJ241" s="4" t="s">
        <v>72</v>
      </c>
      <c r="AK241" s="4" t="s">
        <v>60</v>
      </c>
      <c r="AL241" s="4"/>
      <c r="AM241" s="4"/>
      <c r="AN241" s="4"/>
      <c r="AO241" s="4"/>
      <c r="AP241" s="4"/>
      <c r="AQ241" s="4"/>
      <c r="AR241" s="4"/>
      <c r="AS241" s="4"/>
      <c r="AT241" s="4" t="s">
        <v>63</v>
      </c>
      <c r="AU241" s="4" t="s">
        <v>73</v>
      </c>
      <c r="AV241" s="4" t="s">
        <v>82</v>
      </c>
      <c r="AW241" s="4" t="s">
        <v>324</v>
      </c>
      <c r="AX241" s="4" t="s">
        <v>324</v>
      </c>
      <c r="AY241" s="5"/>
    </row>
    <row r="242" spans="1:51" hidden="1" x14ac:dyDescent="0.3">
      <c r="A242">
        <v>241</v>
      </c>
      <c r="B242" s="3">
        <v>45926.553553240701</v>
      </c>
      <c r="C242" s="3">
        <v>45926.555312500001</v>
      </c>
      <c r="D242" s="4" t="s">
        <v>49</v>
      </c>
      <c r="E242" s="4" t="s">
        <v>50</v>
      </c>
      <c r="F242" s="5" t="s">
        <v>657</v>
      </c>
      <c r="G242" s="4" t="s">
        <v>132</v>
      </c>
      <c r="H242" s="2">
        <v>45913</v>
      </c>
      <c r="I242" s="4" t="s">
        <v>53</v>
      </c>
      <c r="J242" s="4" t="s">
        <v>69</v>
      </c>
      <c r="K242" s="4" t="s">
        <v>55</v>
      </c>
      <c r="L242" s="4" t="s">
        <v>56</v>
      </c>
      <c r="M242">
        <v>12</v>
      </c>
      <c r="N242">
        <v>1</v>
      </c>
      <c r="O242">
        <v>9</v>
      </c>
      <c r="P242">
        <v>2</v>
      </c>
      <c r="Q242">
        <v>11</v>
      </c>
      <c r="R242">
        <v>8</v>
      </c>
      <c r="S242">
        <v>3</v>
      </c>
      <c r="T242">
        <v>5</v>
      </c>
      <c r="U242">
        <v>7</v>
      </c>
      <c r="V242">
        <v>10</v>
      </c>
      <c r="W242">
        <v>6</v>
      </c>
      <c r="X242">
        <v>4</v>
      </c>
      <c r="Y242">
        <f>COUNTA(OfficeForms.Table[[#This Row],[elements_shelters]:[elements_restspots]])</f>
        <v>12</v>
      </c>
      <c r="Z242">
        <v>1</v>
      </c>
      <c r="AA242">
        <v>5</v>
      </c>
      <c r="AB242">
        <v>2</v>
      </c>
      <c r="AC242">
        <v>4</v>
      </c>
      <c r="AD242">
        <v>8</v>
      </c>
      <c r="AE242">
        <v>7</v>
      </c>
      <c r="AF242">
        <v>6</v>
      </c>
      <c r="AG242">
        <v>3</v>
      </c>
      <c r="AH242">
        <f>COUNTA(OfficeForms.Table[[#This Row],[pnuw_walktrails]:[pnuw_restspots]])</f>
        <v>8</v>
      </c>
      <c r="AI242" s="4" t="s">
        <v>117</v>
      </c>
      <c r="AJ242" s="4" t="s">
        <v>88</v>
      </c>
      <c r="AK242" s="4" t="s">
        <v>59</v>
      </c>
      <c r="AL242" s="4" t="s">
        <v>59</v>
      </c>
      <c r="AM242" s="4" t="s">
        <v>263</v>
      </c>
      <c r="AN242" s="4" t="s">
        <v>174</v>
      </c>
      <c r="AO242" s="4" t="s">
        <v>658</v>
      </c>
      <c r="AP242" s="4" t="s">
        <v>59</v>
      </c>
      <c r="AQ242" s="4" t="s">
        <v>332</v>
      </c>
      <c r="AR242" s="4" t="s">
        <v>174</v>
      </c>
      <c r="AS242" s="4" t="s">
        <v>659</v>
      </c>
      <c r="AT242" s="4" t="s">
        <v>63</v>
      </c>
      <c r="AU242" s="4" t="s">
        <v>73</v>
      </c>
      <c r="AV242" s="4" t="s">
        <v>74</v>
      </c>
      <c r="AW242" s="4" t="s">
        <v>324</v>
      </c>
      <c r="AX242" s="4" t="s">
        <v>324</v>
      </c>
      <c r="AY242" s="5"/>
    </row>
    <row r="243" spans="1:51" hidden="1" x14ac:dyDescent="0.3">
      <c r="A243">
        <v>242</v>
      </c>
      <c r="B243" s="3">
        <v>45926.555335648103</v>
      </c>
      <c r="C243" s="3">
        <v>45926.557777777802</v>
      </c>
      <c r="D243" s="4" t="s">
        <v>49</v>
      </c>
      <c r="E243" s="4" t="s">
        <v>50</v>
      </c>
      <c r="F243" s="5" t="s">
        <v>660</v>
      </c>
      <c r="G243" s="4" t="s">
        <v>132</v>
      </c>
      <c r="H243" s="2">
        <v>45914</v>
      </c>
      <c r="I243" s="4" t="s">
        <v>53</v>
      </c>
      <c r="J243" s="4" t="s">
        <v>69</v>
      </c>
      <c r="K243" s="4" t="s">
        <v>78</v>
      </c>
      <c r="L243" s="4" t="s">
        <v>86</v>
      </c>
      <c r="M243">
        <v>11</v>
      </c>
      <c r="N243">
        <v>1</v>
      </c>
      <c r="O243">
        <v>5</v>
      </c>
      <c r="P243">
        <v>2</v>
      </c>
      <c r="Q243">
        <v>3</v>
      </c>
      <c r="R243">
        <v>4</v>
      </c>
      <c r="S243">
        <v>6</v>
      </c>
      <c r="T243">
        <v>7</v>
      </c>
      <c r="U243">
        <v>8</v>
      </c>
      <c r="V243">
        <v>10</v>
      </c>
      <c r="W243">
        <v>9</v>
      </c>
      <c r="X243">
        <v>12</v>
      </c>
      <c r="Y243">
        <f>COUNTA(OfficeForms.Table[[#This Row],[elements_shelters]:[elements_restspots]])</f>
        <v>12</v>
      </c>
      <c r="Z243">
        <v>2</v>
      </c>
      <c r="AA243">
        <v>1</v>
      </c>
      <c r="AB243">
        <v>5</v>
      </c>
      <c r="AC243">
        <v>6</v>
      </c>
      <c r="AD243">
        <v>3</v>
      </c>
      <c r="AE243">
        <v>4</v>
      </c>
      <c r="AF243">
        <v>7</v>
      </c>
      <c r="AG243">
        <v>8</v>
      </c>
      <c r="AH243">
        <f>COUNTA(OfficeForms.Table[[#This Row],[pnuw_walktrails]:[pnuw_restspots]])</f>
        <v>8</v>
      </c>
      <c r="AI243" s="4" t="s">
        <v>661</v>
      </c>
      <c r="AJ243" s="4" t="s">
        <v>72</v>
      </c>
      <c r="AK243" s="4" t="s">
        <v>59</v>
      </c>
      <c r="AL243" s="4" t="s">
        <v>59</v>
      </c>
      <c r="AM243" s="4" t="s">
        <v>662</v>
      </c>
      <c r="AN243" s="4" t="s">
        <v>61</v>
      </c>
      <c r="AO243" s="4"/>
      <c r="AP243" s="4" t="s">
        <v>59</v>
      </c>
      <c r="AQ243" s="4" t="s">
        <v>663</v>
      </c>
      <c r="AR243" s="4" t="s">
        <v>61</v>
      </c>
      <c r="AS243" s="4"/>
      <c r="AT243" s="4" t="s">
        <v>63</v>
      </c>
      <c r="AU243" s="4" t="s">
        <v>64</v>
      </c>
      <c r="AV243" s="4" t="s">
        <v>99</v>
      </c>
      <c r="AW243" s="4" t="s">
        <v>83</v>
      </c>
      <c r="AX243" s="4" t="s">
        <v>67</v>
      </c>
      <c r="AY243" s="5"/>
    </row>
    <row r="244" spans="1:51" hidden="1" x14ac:dyDescent="0.3">
      <c r="A244">
        <v>243</v>
      </c>
      <c r="B244" s="3">
        <v>45926.557800925897</v>
      </c>
      <c r="C244" s="3">
        <v>45926.559178240699</v>
      </c>
      <c r="D244" s="4" t="s">
        <v>49</v>
      </c>
      <c r="E244" s="4" t="s">
        <v>50</v>
      </c>
      <c r="F244" s="5" t="s">
        <v>664</v>
      </c>
      <c r="G244" s="4" t="s">
        <v>132</v>
      </c>
      <c r="H244" s="2">
        <v>45914</v>
      </c>
      <c r="I244" s="4" t="s">
        <v>53</v>
      </c>
      <c r="J244" s="4" t="s">
        <v>85</v>
      </c>
      <c r="K244" s="4" t="s">
        <v>78</v>
      </c>
      <c r="L244" s="4" t="s">
        <v>86</v>
      </c>
      <c r="M244">
        <v>5</v>
      </c>
      <c r="N244">
        <v>1</v>
      </c>
      <c r="O244">
        <v>11</v>
      </c>
      <c r="P244">
        <v>2</v>
      </c>
      <c r="Q244">
        <v>6</v>
      </c>
      <c r="R244">
        <v>7</v>
      </c>
      <c r="S244">
        <v>3</v>
      </c>
      <c r="T244">
        <v>8</v>
      </c>
      <c r="U244">
        <v>9</v>
      </c>
      <c r="V244">
        <v>10</v>
      </c>
      <c r="W244">
        <v>4</v>
      </c>
      <c r="X244">
        <v>12</v>
      </c>
      <c r="Y244">
        <f>COUNTA(OfficeForms.Table[[#This Row],[elements_shelters]:[elements_restspots]])</f>
        <v>12</v>
      </c>
      <c r="AH244">
        <f>COUNTA(OfficeForms.Table[[#This Row],[pnuw_walktrails]:[pnuw_restspots]])</f>
        <v>0</v>
      </c>
      <c r="AI244" s="4" t="s">
        <v>117</v>
      </c>
      <c r="AJ244" s="4" t="s">
        <v>88</v>
      </c>
      <c r="AK244" s="4" t="s">
        <v>60</v>
      </c>
      <c r="AL244" s="4"/>
      <c r="AM244" s="4"/>
      <c r="AN244" s="4"/>
      <c r="AO244" s="4"/>
      <c r="AP244" s="4"/>
      <c r="AQ244" s="4"/>
      <c r="AR244" s="4"/>
      <c r="AS244" s="4"/>
      <c r="AT244" s="4" t="s">
        <v>81</v>
      </c>
      <c r="AU244" s="4" t="s">
        <v>64</v>
      </c>
      <c r="AV244" s="4" t="s">
        <v>99</v>
      </c>
      <c r="AW244" s="4" t="s">
        <v>665</v>
      </c>
      <c r="AX244" s="4" t="s">
        <v>666</v>
      </c>
      <c r="AY244" s="5"/>
    </row>
    <row r="245" spans="1:51" hidden="1" x14ac:dyDescent="0.3">
      <c r="A245">
        <v>244</v>
      </c>
      <c r="B245" s="3">
        <v>45926.559201388904</v>
      </c>
      <c r="C245" s="3">
        <v>45926.560995370397</v>
      </c>
      <c r="D245" s="4" t="s">
        <v>49</v>
      </c>
      <c r="E245" s="4" t="s">
        <v>50</v>
      </c>
      <c r="F245" s="5" t="s">
        <v>667</v>
      </c>
      <c r="G245" s="4" t="s">
        <v>132</v>
      </c>
      <c r="H245" s="2">
        <v>45914</v>
      </c>
      <c r="I245" s="4" t="s">
        <v>53</v>
      </c>
      <c r="J245" s="4" t="s">
        <v>85</v>
      </c>
      <c r="K245" s="4" t="s">
        <v>78</v>
      </c>
      <c r="L245" s="4" t="s">
        <v>56</v>
      </c>
      <c r="M245">
        <v>11</v>
      </c>
      <c r="N245">
        <v>8</v>
      </c>
      <c r="O245">
        <v>7</v>
      </c>
      <c r="P245">
        <v>6</v>
      </c>
      <c r="Q245">
        <v>10</v>
      </c>
      <c r="R245">
        <v>1</v>
      </c>
      <c r="S245">
        <v>9</v>
      </c>
      <c r="T245">
        <v>3</v>
      </c>
      <c r="U245">
        <v>4</v>
      </c>
      <c r="V245">
        <v>12</v>
      </c>
      <c r="W245">
        <v>5</v>
      </c>
      <c r="X245">
        <v>2</v>
      </c>
      <c r="Y245">
        <f>COUNTA(OfficeForms.Table[[#This Row],[elements_shelters]:[elements_restspots]])</f>
        <v>12</v>
      </c>
      <c r="Z245">
        <v>1</v>
      </c>
      <c r="AA245">
        <v>2</v>
      </c>
      <c r="AB245">
        <v>8</v>
      </c>
      <c r="AC245">
        <v>7</v>
      </c>
      <c r="AD245">
        <v>6</v>
      </c>
      <c r="AE245">
        <v>5</v>
      </c>
      <c r="AF245">
        <v>4</v>
      </c>
      <c r="AG245">
        <v>3</v>
      </c>
      <c r="AH245">
        <f>COUNTA(OfficeForms.Table[[#This Row],[pnuw_walktrails]:[pnuw_restspots]])</f>
        <v>8</v>
      </c>
      <c r="AI245" s="4" t="s">
        <v>668</v>
      </c>
      <c r="AJ245" s="4" t="s">
        <v>72</v>
      </c>
      <c r="AK245" s="4" t="s">
        <v>59</v>
      </c>
      <c r="AL245" s="4" t="s">
        <v>60</v>
      </c>
      <c r="AM245" s="4"/>
      <c r="AN245" s="4" t="s">
        <v>111</v>
      </c>
      <c r="AO245" s="4"/>
      <c r="AP245" s="4" t="s">
        <v>59</v>
      </c>
      <c r="AQ245" s="4" t="s">
        <v>391</v>
      </c>
      <c r="AR245" s="4" t="s">
        <v>111</v>
      </c>
      <c r="AS245" s="4"/>
      <c r="AT245" s="4" t="s">
        <v>81</v>
      </c>
      <c r="AU245" s="4" t="s">
        <v>73</v>
      </c>
      <c r="AV245" s="4" t="s">
        <v>125</v>
      </c>
      <c r="AW245" s="4" t="s">
        <v>669</v>
      </c>
      <c r="AX245" s="4" t="s">
        <v>96</v>
      </c>
      <c r="AY245" s="5"/>
    </row>
    <row r="246" spans="1:51" hidden="1" x14ac:dyDescent="0.3">
      <c r="A246">
        <v>245</v>
      </c>
      <c r="B246" s="3">
        <v>45926.561006944401</v>
      </c>
      <c r="C246" s="3">
        <v>45926.562395833302</v>
      </c>
      <c r="D246" s="4" t="s">
        <v>49</v>
      </c>
      <c r="E246" s="4" t="s">
        <v>50</v>
      </c>
      <c r="F246" s="5" t="s">
        <v>670</v>
      </c>
      <c r="G246" s="4" t="s">
        <v>132</v>
      </c>
      <c r="H246" s="2">
        <v>45914</v>
      </c>
      <c r="I246" s="4" t="s">
        <v>53</v>
      </c>
      <c r="J246" s="4" t="s">
        <v>85</v>
      </c>
      <c r="K246" s="4" t="s">
        <v>78</v>
      </c>
      <c r="L246" s="4" t="s">
        <v>56</v>
      </c>
      <c r="M246">
        <v>10</v>
      </c>
      <c r="N246">
        <v>1</v>
      </c>
      <c r="O246">
        <v>9</v>
      </c>
      <c r="P246">
        <v>11</v>
      </c>
      <c r="Q246">
        <v>12</v>
      </c>
      <c r="R246">
        <v>2</v>
      </c>
      <c r="S246">
        <v>4</v>
      </c>
      <c r="T246">
        <v>8</v>
      </c>
      <c r="U246">
        <v>7</v>
      </c>
      <c r="V246">
        <v>6</v>
      </c>
      <c r="W246">
        <v>3</v>
      </c>
      <c r="X246">
        <v>5</v>
      </c>
      <c r="Y246">
        <f>COUNTA(OfficeForms.Table[[#This Row],[elements_shelters]:[elements_restspots]])</f>
        <v>12</v>
      </c>
      <c r="Z246">
        <v>1</v>
      </c>
      <c r="AA246">
        <v>7</v>
      </c>
      <c r="AB246">
        <v>8</v>
      </c>
      <c r="AC246">
        <v>2</v>
      </c>
      <c r="AD246">
        <v>4</v>
      </c>
      <c r="AE246">
        <v>6</v>
      </c>
      <c r="AF246">
        <v>3</v>
      </c>
      <c r="AG246">
        <v>5</v>
      </c>
      <c r="AH246">
        <f>COUNTA(OfficeForms.Table[[#This Row],[pnuw_walktrails]:[pnuw_restspots]])</f>
        <v>8</v>
      </c>
      <c r="AI246" s="4" t="s">
        <v>117</v>
      </c>
      <c r="AJ246" s="4" t="s">
        <v>88</v>
      </c>
      <c r="AK246" s="4" t="s">
        <v>59</v>
      </c>
      <c r="AL246" s="4" t="s">
        <v>60</v>
      </c>
      <c r="AM246" s="4"/>
      <c r="AN246" s="4" t="s">
        <v>61</v>
      </c>
      <c r="AO246" s="4"/>
      <c r="AP246" s="4" t="s">
        <v>59</v>
      </c>
      <c r="AQ246" s="4" t="s">
        <v>466</v>
      </c>
      <c r="AR246" s="4" t="s">
        <v>61</v>
      </c>
      <c r="AS246" s="4"/>
      <c r="AT246" s="4" t="s">
        <v>63</v>
      </c>
      <c r="AU246" s="4" t="s">
        <v>73</v>
      </c>
      <c r="AV246" s="4" t="s">
        <v>65</v>
      </c>
      <c r="AW246" s="4" t="s">
        <v>671</v>
      </c>
      <c r="AX246" s="4" t="s">
        <v>365</v>
      </c>
      <c r="AY246" s="5"/>
    </row>
    <row r="247" spans="1:51" hidden="1" x14ac:dyDescent="0.3">
      <c r="A247">
        <v>246</v>
      </c>
      <c r="B247" s="3">
        <v>45926.562418981499</v>
      </c>
      <c r="C247" s="3">
        <v>45926.567870370403</v>
      </c>
      <c r="D247" s="4" t="s">
        <v>49</v>
      </c>
      <c r="E247" s="4" t="s">
        <v>50</v>
      </c>
      <c r="F247" s="5" t="s">
        <v>672</v>
      </c>
      <c r="G247" s="4" t="s">
        <v>132</v>
      </c>
      <c r="H247" s="2">
        <v>45914</v>
      </c>
      <c r="I247" s="4" t="s">
        <v>53</v>
      </c>
      <c r="J247" s="4" t="s">
        <v>85</v>
      </c>
      <c r="K247" s="4" t="s">
        <v>55</v>
      </c>
      <c r="L247" s="4" t="s">
        <v>56</v>
      </c>
      <c r="M247">
        <v>3</v>
      </c>
      <c r="N247">
        <v>2</v>
      </c>
      <c r="O247">
        <v>5</v>
      </c>
      <c r="P247">
        <v>10</v>
      </c>
      <c r="Q247">
        <v>11</v>
      </c>
      <c r="R247">
        <v>4</v>
      </c>
      <c r="S247">
        <v>7</v>
      </c>
      <c r="T247">
        <v>8</v>
      </c>
      <c r="U247">
        <v>9</v>
      </c>
      <c r="V247">
        <v>12</v>
      </c>
      <c r="W247">
        <v>1</v>
      </c>
      <c r="X247">
        <v>6</v>
      </c>
      <c r="Y247">
        <f>COUNTA(OfficeForms.Table[[#This Row],[elements_shelters]:[elements_restspots]])</f>
        <v>12</v>
      </c>
      <c r="Z247">
        <v>3</v>
      </c>
      <c r="AA247">
        <v>4</v>
      </c>
      <c r="AB247">
        <v>5</v>
      </c>
      <c r="AC247">
        <v>1</v>
      </c>
      <c r="AD247">
        <v>6</v>
      </c>
      <c r="AE247">
        <v>7</v>
      </c>
      <c r="AF247">
        <v>2</v>
      </c>
      <c r="AG247">
        <v>8</v>
      </c>
      <c r="AH247">
        <f>COUNTA(OfficeForms.Table[[#This Row],[pnuw_walktrails]:[pnuw_restspots]])</f>
        <v>8</v>
      </c>
      <c r="AI247" s="4" t="s">
        <v>117</v>
      </c>
      <c r="AJ247" s="4" t="s">
        <v>72</v>
      </c>
      <c r="AK247" s="4" t="s">
        <v>59</v>
      </c>
      <c r="AL247" s="4" t="s">
        <v>60</v>
      </c>
      <c r="AM247" s="4"/>
      <c r="AN247" s="4" t="s">
        <v>61</v>
      </c>
      <c r="AO247" s="4"/>
      <c r="AP247" s="4" t="s">
        <v>59</v>
      </c>
      <c r="AQ247" s="4" t="s">
        <v>391</v>
      </c>
      <c r="AR247" s="4" t="s">
        <v>61</v>
      </c>
      <c r="AS247" s="4"/>
      <c r="AT247" s="4" t="s">
        <v>81</v>
      </c>
      <c r="AU247" s="4" t="s">
        <v>73</v>
      </c>
      <c r="AV247" s="4" t="s">
        <v>125</v>
      </c>
      <c r="AW247" s="4" t="s">
        <v>671</v>
      </c>
      <c r="AX247" s="4" t="s">
        <v>365</v>
      </c>
      <c r="AY247" s="5"/>
    </row>
    <row r="248" spans="1:51" hidden="1" x14ac:dyDescent="0.3">
      <c r="A248">
        <v>247</v>
      </c>
      <c r="B248" s="3">
        <v>45926.567893518499</v>
      </c>
      <c r="C248" s="3">
        <v>45926.569386574098</v>
      </c>
      <c r="D248" s="4" t="s">
        <v>49</v>
      </c>
      <c r="E248" s="4" t="s">
        <v>50</v>
      </c>
      <c r="F248" s="5" t="s">
        <v>673</v>
      </c>
      <c r="G248" s="4" t="s">
        <v>132</v>
      </c>
      <c r="H248" s="2">
        <v>45914</v>
      </c>
      <c r="I248" s="4" t="s">
        <v>53</v>
      </c>
      <c r="J248" s="4" t="s">
        <v>69</v>
      </c>
      <c r="K248" s="4" t="s">
        <v>78</v>
      </c>
      <c r="L248" s="4" t="s">
        <v>56</v>
      </c>
      <c r="M248">
        <v>11</v>
      </c>
      <c r="N248">
        <v>1</v>
      </c>
      <c r="O248">
        <v>2</v>
      </c>
      <c r="P248">
        <v>3</v>
      </c>
      <c r="Q248">
        <v>6</v>
      </c>
      <c r="R248">
        <v>4</v>
      </c>
      <c r="S248">
        <v>8</v>
      </c>
      <c r="T248">
        <v>9</v>
      </c>
      <c r="U248">
        <v>10</v>
      </c>
      <c r="V248">
        <v>12</v>
      </c>
      <c r="W248">
        <v>7</v>
      </c>
      <c r="X248">
        <v>5</v>
      </c>
      <c r="Y248">
        <f>COUNTA(OfficeForms.Table[[#This Row],[elements_shelters]:[elements_restspots]])</f>
        <v>12</v>
      </c>
      <c r="Z248">
        <v>1</v>
      </c>
      <c r="AA248">
        <v>2</v>
      </c>
      <c r="AB248">
        <v>8</v>
      </c>
      <c r="AC248">
        <v>4</v>
      </c>
      <c r="AD248">
        <v>5</v>
      </c>
      <c r="AE248">
        <v>7</v>
      </c>
      <c r="AF248">
        <v>6</v>
      </c>
      <c r="AG248">
        <v>3</v>
      </c>
      <c r="AH248">
        <f>COUNTA(OfficeForms.Table[[#This Row],[pnuw_walktrails]:[pnuw_restspots]])</f>
        <v>8</v>
      </c>
      <c r="AI248" s="4" t="s">
        <v>674</v>
      </c>
      <c r="AJ248" s="4" t="s">
        <v>72</v>
      </c>
      <c r="AK248" s="4" t="s">
        <v>59</v>
      </c>
      <c r="AL248" s="4" t="s">
        <v>60</v>
      </c>
      <c r="AM248" s="4"/>
      <c r="AN248" s="4" t="s">
        <v>61</v>
      </c>
      <c r="AO248" s="4"/>
      <c r="AP248" s="4" t="s">
        <v>59</v>
      </c>
      <c r="AQ248" s="4" t="s">
        <v>251</v>
      </c>
      <c r="AR248" s="4" t="s">
        <v>61</v>
      </c>
      <c r="AS248" s="4"/>
      <c r="AT248" s="4" t="s">
        <v>81</v>
      </c>
      <c r="AU248" s="4" t="s">
        <v>73</v>
      </c>
      <c r="AV248" s="4" t="s">
        <v>65</v>
      </c>
      <c r="AW248" s="4" t="s">
        <v>675</v>
      </c>
      <c r="AX248" s="4" t="s">
        <v>676</v>
      </c>
      <c r="AY248" s="5"/>
    </row>
    <row r="249" spans="1:51" hidden="1" x14ac:dyDescent="0.3">
      <c r="A249">
        <v>248</v>
      </c>
      <c r="B249" s="3">
        <v>45926.5694097222</v>
      </c>
      <c r="C249" s="3">
        <v>45926.570613425902</v>
      </c>
      <c r="D249" s="4" t="s">
        <v>49</v>
      </c>
      <c r="E249" s="4" t="s">
        <v>50</v>
      </c>
      <c r="F249" s="5" t="s">
        <v>677</v>
      </c>
      <c r="G249" s="4" t="s">
        <v>132</v>
      </c>
      <c r="H249" s="2">
        <v>45914</v>
      </c>
      <c r="I249" s="4" t="s">
        <v>53</v>
      </c>
      <c r="J249" s="4" t="s">
        <v>85</v>
      </c>
      <c r="K249" s="4" t="s">
        <v>78</v>
      </c>
      <c r="L249" s="4" t="s">
        <v>86</v>
      </c>
      <c r="M249">
        <v>9</v>
      </c>
      <c r="N249">
        <v>1</v>
      </c>
      <c r="O249">
        <v>7</v>
      </c>
      <c r="P249">
        <v>10</v>
      </c>
      <c r="Q249">
        <v>11</v>
      </c>
      <c r="R249">
        <v>2</v>
      </c>
      <c r="S249">
        <v>3</v>
      </c>
      <c r="T249">
        <v>4</v>
      </c>
      <c r="U249">
        <v>5</v>
      </c>
      <c r="V249">
        <v>12</v>
      </c>
      <c r="W249">
        <v>6</v>
      </c>
      <c r="X249">
        <v>8</v>
      </c>
      <c r="Y249">
        <f>COUNTA(OfficeForms.Table[[#This Row],[elements_shelters]:[elements_restspots]])</f>
        <v>12</v>
      </c>
      <c r="Z249">
        <v>1</v>
      </c>
      <c r="AA249">
        <v>3</v>
      </c>
      <c r="AB249">
        <v>4</v>
      </c>
      <c r="AC249">
        <v>2</v>
      </c>
      <c r="AD249">
        <v>7</v>
      </c>
      <c r="AE249">
        <v>8</v>
      </c>
      <c r="AF249">
        <v>6</v>
      </c>
      <c r="AG249">
        <v>5</v>
      </c>
      <c r="AH249">
        <f>COUNTA(OfficeForms.Table[[#This Row],[pnuw_walktrails]:[pnuw_restspots]])</f>
        <v>8</v>
      </c>
      <c r="AI249" s="4" t="s">
        <v>117</v>
      </c>
      <c r="AJ249" s="4" t="s">
        <v>72</v>
      </c>
      <c r="AK249" s="4" t="s">
        <v>59</v>
      </c>
      <c r="AL249" s="4" t="s">
        <v>60</v>
      </c>
      <c r="AM249" s="4"/>
      <c r="AN249" s="4" t="s">
        <v>61</v>
      </c>
      <c r="AO249" s="4"/>
      <c r="AP249" s="4" t="s">
        <v>59</v>
      </c>
      <c r="AQ249" s="4" t="s">
        <v>263</v>
      </c>
      <c r="AR249" s="4" t="s">
        <v>61</v>
      </c>
      <c r="AS249" s="4"/>
      <c r="AT249" s="4" t="s">
        <v>63</v>
      </c>
      <c r="AU249" s="4" t="s">
        <v>64</v>
      </c>
      <c r="AV249" s="4" t="s">
        <v>65</v>
      </c>
      <c r="AW249" s="4" t="s">
        <v>678</v>
      </c>
      <c r="AX249" s="4" t="s">
        <v>676</v>
      </c>
      <c r="AY249" s="5"/>
    </row>
    <row r="250" spans="1:51" hidden="1" x14ac:dyDescent="0.3">
      <c r="A250">
        <v>249</v>
      </c>
      <c r="B250" s="3">
        <v>45926.572442129604</v>
      </c>
      <c r="C250" s="3">
        <v>45926.572511574101</v>
      </c>
      <c r="D250" s="4" t="s">
        <v>49</v>
      </c>
      <c r="E250" s="4" t="s">
        <v>50</v>
      </c>
      <c r="F250" s="5" t="s">
        <v>679</v>
      </c>
      <c r="G250" s="4" t="s">
        <v>132</v>
      </c>
      <c r="H250" s="2">
        <v>45914</v>
      </c>
      <c r="I250" s="4" t="s">
        <v>53</v>
      </c>
      <c r="J250" s="4" t="s">
        <v>85</v>
      </c>
      <c r="K250" s="4" t="s">
        <v>78</v>
      </c>
      <c r="L250" s="4" t="s">
        <v>86</v>
      </c>
      <c r="M250">
        <v>5</v>
      </c>
      <c r="N250">
        <v>9</v>
      </c>
      <c r="O250">
        <v>3</v>
      </c>
      <c r="P250">
        <v>2</v>
      </c>
      <c r="Q250">
        <v>4</v>
      </c>
      <c r="R250">
        <v>6</v>
      </c>
      <c r="S250">
        <v>7</v>
      </c>
      <c r="T250">
        <v>11</v>
      </c>
      <c r="U250">
        <v>12</v>
      </c>
      <c r="V250">
        <v>10</v>
      </c>
      <c r="W250">
        <v>1</v>
      </c>
      <c r="X250">
        <v>8</v>
      </c>
      <c r="Y250">
        <f>COUNTA(OfficeForms.Table[[#This Row],[elements_shelters]:[elements_restspots]])</f>
        <v>12</v>
      </c>
      <c r="Z250">
        <v>5</v>
      </c>
      <c r="AA250">
        <v>4</v>
      </c>
      <c r="AB250">
        <v>6</v>
      </c>
      <c r="AC250">
        <v>1</v>
      </c>
      <c r="AD250">
        <v>7</v>
      </c>
      <c r="AE250">
        <v>8</v>
      </c>
      <c r="AF250">
        <v>2</v>
      </c>
      <c r="AG250">
        <v>3</v>
      </c>
      <c r="AH250">
        <f>COUNTA(OfficeForms.Table[[#This Row],[pnuw_walktrails]:[pnuw_restspots]])</f>
        <v>8</v>
      </c>
      <c r="AI250" s="4" t="s">
        <v>680</v>
      </c>
      <c r="AJ250" s="4" t="s">
        <v>88</v>
      </c>
      <c r="AK250" s="4" t="s">
        <v>59</v>
      </c>
      <c r="AL250" s="4" t="s">
        <v>60</v>
      </c>
      <c r="AM250" s="4"/>
      <c r="AN250" s="4" t="s">
        <v>61</v>
      </c>
      <c r="AO250" s="4"/>
      <c r="AP250" s="4" t="s">
        <v>59</v>
      </c>
      <c r="AQ250" s="4" t="s">
        <v>681</v>
      </c>
      <c r="AR250" s="4" t="s">
        <v>61</v>
      </c>
      <c r="AS250" s="4"/>
      <c r="AT250" s="4" t="s">
        <v>63</v>
      </c>
      <c r="AU250" s="4" t="s">
        <v>73</v>
      </c>
      <c r="AV250" s="4" t="s">
        <v>82</v>
      </c>
      <c r="AW250" s="4" t="s">
        <v>682</v>
      </c>
      <c r="AX250" s="4" t="s">
        <v>683</v>
      </c>
      <c r="AY250" s="5"/>
    </row>
    <row r="251" spans="1:51" ht="15" thickBot="1" x14ac:dyDescent="0.35">
      <c r="A251" s="11"/>
      <c r="D251" s="4"/>
      <c r="E251" s="4"/>
      <c r="F251" s="4"/>
      <c r="G251" s="4"/>
      <c r="I251" s="4"/>
      <c r="J251" s="4"/>
      <c r="K251" s="4"/>
      <c r="L251" s="4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t="str">
        <f>Z1</f>
        <v>pnuw_walktrails</v>
      </c>
      <c r="AA251" t="str">
        <f t="shared" ref="AA251:AH251" si="0">AA1</f>
        <v>pnuw_edupaths</v>
      </c>
      <c r="AB251" t="str">
        <f t="shared" si="0"/>
        <v>pnuw_biketrails</v>
      </c>
      <c r="AC251" t="str">
        <f t="shared" si="0"/>
        <v>pnuw_viewpoints</v>
      </c>
      <c r="AD251" t="str">
        <f t="shared" si="0"/>
        <v>pnuw_parking</v>
      </c>
      <c r="AE251" t="str">
        <f t="shared" si="0"/>
        <v>pnuw_bins</v>
      </c>
      <c r="AF251" t="str">
        <f t="shared" si="0"/>
        <v>pnuw_infoboards</v>
      </c>
      <c r="AG251" t="str">
        <f t="shared" si="0"/>
        <v>pnuw_restspots</v>
      </c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spans="1:51" ht="15" thickTop="1" x14ac:dyDescent="0.3">
      <c r="Z252" s="12">
        <f>AVERAGE(Z2:Z250)</f>
        <v>2.5111111111111111</v>
      </c>
      <c r="AA252" s="12">
        <f>AVERAGE(AA2:AA250)</f>
        <v>4.1210762331838566</v>
      </c>
      <c r="AB252" s="12">
        <f>AVERAGE(AB2:AB250)</f>
        <v>4.8430493273542599</v>
      </c>
      <c r="AC252" s="12">
        <f>AVERAGE(AC2:AC250)</f>
        <v>3.7455357142857144</v>
      </c>
      <c r="AD252" s="12">
        <f>AVERAGE(AD2:AD250)</f>
        <v>4.7802690582959642</v>
      </c>
      <c r="AE252" s="12">
        <f>AVERAGE(AE2:AE250)</f>
        <v>6.1524663677130045</v>
      </c>
      <c r="AF252" s="12">
        <f>AVERAGE(AF2:AF250)</f>
        <v>4.811659192825112</v>
      </c>
      <c r="AG252" s="12">
        <f>AVERAGE(AG2:AG250)</f>
        <v>4.9461883408071747</v>
      </c>
      <c r="AH252" s="12"/>
    </row>
    <row r="266" spans="26:27" x14ac:dyDescent="0.3">
      <c r="AA266" t="s">
        <v>737</v>
      </c>
    </row>
    <row r="267" spans="26:27" x14ac:dyDescent="0.3">
      <c r="Z267" t="s">
        <v>738</v>
      </c>
      <c r="AA267">
        <v>2.5111111111111111</v>
      </c>
    </row>
    <row r="268" spans="26:27" x14ac:dyDescent="0.3">
      <c r="Z268" t="s">
        <v>739</v>
      </c>
      <c r="AA268">
        <v>3.7455357142857144</v>
      </c>
    </row>
    <row r="269" spans="26:27" x14ac:dyDescent="0.3">
      <c r="Z269" t="s">
        <v>740</v>
      </c>
      <c r="AA269">
        <v>4.1210762331838566</v>
      </c>
    </row>
    <row r="270" spans="26:27" x14ac:dyDescent="0.3">
      <c r="Z270" t="s">
        <v>741</v>
      </c>
      <c r="AA270">
        <v>4.7802690582959642</v>
      </c>
    </row>
    <row r="271" spans="26:27" x14ac:dyDescent="0.3">
      <c r="Z271" t="s">
        <v>742</v>
      </c>
      <c r="AA271">
        <v>4.811659192825112</v>
      </c>
    </row>
    <row r="272" spans="26:27" x14ac:dyDescent="0.3">
      <c r="Z272" t="s">
        <v>743</v>
      </c>
      <c r="AA272">
        <v>4.8430493273542599</v>
      </c>
    </row>
    <row r="273" spans="26:27" x14ac:dyDescent="0.3">
      <c r="Z273" t="s">
        <v>744</v>
      </c>
      <c r="AA273">
        <v>4.9461883408071747</v>
      </c>
    </row>
    <row r="274" spans="26:27" x14ac:dyDescent="0.3">
      <c r="Z274" t="s">
        <v>745</v>
      </c>
      <c r="AA274">
        <v>6.1524663677130045</v>
      </c>
    </row>
  </sheetData>
  <sortState xmlns:xlrd2="http://schemas.microsoft.com/office/spreadsheetml/2017/richdata2" ref="Z267:AA275">
    <sortCondition ref="AA267:AA275"/>
  </sortState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4D81-4063-46BF-86EB-3BFFD668CC51}">
  <dimension ref="A1:B50"/>
  <sheetViews>
    <sheetView workbookViewId="0">
      <selection activeCell="A3" sqref="A3"/>
    </sheetView>
  </sheetViews>
  <sheetFormatPr defaultRowHeight="14.4" x14ac:dyDescent="0.3"/>
  <cols>
    <col min="1" max="1" width="148.5546875" bestFit="1" customWidth="1"/>
  </cols>
  <sheetData>
    <row r="1" spans="1:2" x14ac:dyDescent="0.3">
      <c r="A1" t="s">
        <v>734</v>
      </c>
      <c r="B1" s="9" t="s">
        <v>684</v>
      </c>
    </row>
    <row r="2" spans="1:2" x14ac:dyDescent="0.3">
      <c r="A2" s="6" t="s">
        <v>0</v>
      </c>
      <c r="B2" s="9" t="s">
        <v>685</v>
      </c>
    </row>
    <row r="3" spans="1:2" x14ac:dyDescent="0.3">
      <c r="A3" s="7" t="s">
        <v>1</v>
      </c>
      <c r="B3" s="9" t="s">
        <v>686</v>
      </c>
    </row>
    <row r="4" spans="1:2" x14ac:dyDescent="0.3">
      <c r="A4" s="7" t="s">
        <v>2</v>
      </c>
      <c r="B4" s="9" t="s">
        <v>687</v>
      </c>
    </row>
    <row r="5" spans="1:2" x14ac:dyDescent="0.3">
      <c r="A5" s="7" t="s">
        <v>3</v>
      </c>
      <c r="B5" s="9" t="s">
        <v>688</v>
      </c>
    </row>
    <row r="6" spans="1:2" x14ac:dyDescent="0.3">
      <c r="A6" s="7" t="s">
        <v>4</v>
      </c>
      <c r="B6" s="9" t="s">
        <v>689</v>
      </c>
    </row>
    <row r="7" spans="1:2" x14ac:dyDescent="0.3">
      <c r="A7" s="7" t="s">
        <v>5</v>
      </c>
      <c r="B7" s="9" t="s">
        <v>690</v>
      </c>
    </row>
    <row r="8" spans="1:2" x14ac:dyDescent="0.3">
      <c r="A8" s="7" t="s">
        <v>6</v>
      </c>
      <c r="B8" s="9" t="s">
        <v>691</v>
      </c>
    </row>
    <row r="9" spans="1:2" x14ac:dyDescent="0.3">
      <c r="A9" s="7" t="s">
        <v>7</v>
      </c>
      <c r="B9" s="9" t="s">
        <v>692</v>
      </c>
    </row>
    <row r="10" spans="1:2" x14ac:dyDescent="0.3">
      <c r="A10" s="7" t="s">
        <v>8</v>
      </c>
      <c r="B10" s="9" t="s">
        <v>733</v>
      </c>
    </row>
    <row r="11" spans="1:2" x14ac:dyDescent="0.3">
      <c r="A11" s="7" t="s">
        <v>9</v>
      </c>
      <c r="B11" s="9" t="s">
        <v>693</v>
      </c>
    </row>
    <row r="12" spans="1:2" x14ac:dyDescent="0.3">
      <c r="A12" s="7" t="s">
        <v>10</v>
      </c>
      <c r="B12" s="9" t="s">
        <v>694</v>
      </c>
    </row>
    <row r="13" spans="1:2" x14ac:dyDescent="0.3">
      <c r="A13" s="7" t="s">
        <v>11</v>
      </c>
      <c r="B13" s="9" t="s">
        <v>695</v>
      </c>
    </row>
    <row r="14" spans="1:2" x14ac:dyDescent="0.3">
      <c r="A14" s="7" t="s">
        <v>12</v>
      </c>
      <c r="B14" s="9" t="s">
        <v>696</v>
      </c>
    </row>
    <row r="15" spans="1:2" x14ac:dyDescent="0.3">
      <c r="A15" s="7" t="s">
        <v>13</v>
      </c>
      <c r="B15" s="9" t="s">
        <v>697</v>
      </c>
    </row>
    <row r="16" spans="1:2" x14ac:dyDescent="0.3">
      <c r="A16" s="7" t="s">
        <v>14</v>
      </c>
      <c r="B16" s="9" t="s">
        <v>698</v>
      </c>
    </row>
    <row r="17" spans="1:2" x14ac:dyDescent="0.3">
      <c r="A17" s="7" t="s">
        <v>15</v>
      </c>
      <c r="B17" s="9" t="s">
        <v>699</v>
      </c>
    </row>
    <row r="18" spans="1:2" x14ac:dyDescent="0.3">
      <c r="A18" s="7" t="s">
        <v>16</v>
      </c>
      <c r="B18" s="9" t="s">
        <v>700</v>
      </c>
    </row>
    <row r="19" spans="1:2" x14ac:dyDescent="0.3">
      <c r="A19" s="7" t="s">
        <v>17</v>
      </c>
      <c r="B19" s="9" t="s">
        <v>701</v>
      </c>
    </row>
    <row r="20" spans="1:2" x14ac:dyDescent="0.3">
      <c r="A20" s="7" t="s">
        <v>18</v>
      </c>
      <c r="B20" s="9" t="s">
        <v>702</v>
      </c>
    </row>
    <row r="21" spans="1:2" x14ac:dyDescent="0.3">
      <c r="A21" s="7" t="s">
        <v>19</v>
      </c>
      <c r="B21" s="9" t="s">
        <v>703</v>
      </c>
    </row>
    <row r="22" spans="1:2" x14ac:dyDescent="0.3">
      <c r="A22" s="7" t="s">
        <v>20</v>
      </c>
      <c r="B22" s="9" t="s">
        <v>704</v>
      </c>
    </row>
    <row r="23" spans="1:2" x14ac:dyDescent="0.3">
      <c r="A23" s="7" t="s">
        <v>21</v>
      </c>
      <c r="B23" s="9" t="s">
        <v>705</v>
      </c>
    </row>
    <row r="24" spans="1:2" x14ac:dyDescent="0.3">
      <c r="A24" s="7" t="s">
        <v>22</v>
      </c>
      <c r="B24" s="9" t="s">
        <v>706</v>
      </c>
    </row>
    <row r="25" spans="1:2" x14ac:dyDescent="0.3">
      <c r="A25" s="7" t="s">
        <v>23</v>
      </c>
      <c r="B25" s="9" t="s">
        <v>707</v>
      </c>
    </row>
    <row r="26" spans="1:2" x14ac:dyDescent="0.3">
      <c r="A26" s="7" t="s">
        <v>24</v>
      </c>
      <c r="B26" s="9" t="s">
        <v>708</v>
      </c>
    </row>
    <row r="27" spans="1:2" x14ac:dyDescent="0.3">
      <c r="A27" s="7" t="s">
        <v>25</v>
      </c>
      <c r="B27" s="9" t="s">
        <v>709</v>
      </c>
    </row>
    <row r="28" spans="1:2" x14ac:dyDescent="0.3">
      <c r="A28" s="7" t="s">
        <v>26</v>
      </c>
      <c r="B28" s="9" t="s">
        <v>710</v>
      </c>
    </row>
    <row r="29" spans="1:2" x14ac:dyDescent="0.3">
      <c r="A29" s="7" t="s">
        <v>27</v>
      </c>
      <c r="B29" s="9" t="s">
        <v>711</v>
      </c>
    </row>
    <row r="30" spans="1:2" x14ac:dyDescent="0.3">
      <c r="A30" s="7" t="s">
        <v>28</v>
      </c>
      <c r="B30" s="9" t="s">
        <v>712</v>
      </c>
    </row>
    <row r="31" spans="1:2" x14ac:dyDescent="0.3">
      <c r="A31" s="7" t="s">
        <v>29</v>
      </c>
      <c r="B31" s="9" t="s">
        <v>713</v>
      </c>
    </row>
    <row r="32" spans="1:2" x14ac:dyDescent="0.3">
      <c r="A32" s="7" t="s">
        <v>30</v>
      </c>
      <c r="B32" s="9" t="s">
        <v>714</v>
      </c>
    </row>
    <row r="33" spans="1:2" x14ac:dyDescent="0.3">
      <c r="A33" s="7" t="s">
        <v>31</v>
      </c>
      <c r="B33" s="9" t="s">
        <v>715</v>
      </c>
    </row>
    <row r="34" spans="1:2" x14ac:dyDescent="0.3">
      <c r="A34" s="7" t="s">
        <v>32</v>
      </c>
      <c r="B34" s="9" t="s">
        <v>716</v>
      </c>
    </row>
    <row r="35" spans="1:2" x14ac:dyDescent="0.3">
      <c r="A35" s="7" t="s">
        <v>33</v>
      </c>
      <c r="B35" s="9" t="s">
        <v>717</v>
      </c>
    </row>
    <row r="36" spans="1:2" x14ac:dyDescent="0.3">
      <c r="A36" s="7" t="s">
        <v>34</v>
      </c>
      <c r="B36" s="9" t="s">
        <v>718</v>
      </c>
    </row>
    <row r="37" spans="1:2" x14ac:dyDescent="0.3">
      <c r="A37" s="7" t="s">
        <v>35</v>
      </c>
      <c r="B37" s="9" t="s">
        <v>719</v>
      </c>
    </row>
    <row r="38" spans="1:2" x14ac:dyDescent="0.3">
      <c r="A38" s="7" t="s">
        <v>36</v>
      </c>
      <c r="B38" s="9" t="s">
        <v>720</v>
      </c>
    </row>
    <row r="39" spans="1:2" x14ac:dyDescent="0.3">
      <c r="A39" s="7" t="s">
        <v>37</v>
      </c>
      <c r="B39" s="9" t="s">
        <v>721</v>
      </c>
    </row>
    <row r="40" spans="1:2" x14ac:dyDescent="0.3">
      <c r="A40" s="7" t="s">
        <v>38</v>
      </c>
      <c r="B40" s="9" t="s">
        <v>722</v>
      </c>
    </row>
    <row r="41" spans="1:2" x14ac:dyDescent="0.3">
      <c r="A41" s="7" t="s">
        <v>39</v>
      </c>
      <c r="B41" s="9" t="s">
        <v>723</v>
      </c>
    </row>
    <row r="42" spans="1:2" x14ac:dyDescent="0.3">
      <c r="A42" s="7" t="s">
        <v>40</v>
      </c>
      <c r="B42" s="9" t="s">
        <v>724</v>
      </c>
    </row>
    <row r="43" spans="1:2" x14ac:dyDescent="0.3">
      <c r="A43" s="7" t="s">
        <v>41</v>
      </c>
      <c r="B43" s="9" t="s">
        <v>725</v>
      </c>
    </row>
    <row r="44" spans="1:2" x14ac:dyDescent="0.3">
      <c r="A44" s="7" t="s">
        <v>42</v>
      </c>
      <c r="B44" s="9" t="s">
        <v>726</v>
      </c>
    </row>
    <row r="45" spans="1:2" x14ac:dyDescent="0.3">
      <c r="A45" s="7" t="s">
        <v>43</v>
      </c>
      <c r="B45" s="9" t="s">
        <v>727</v>
      </c>
    </row>
    <row r="46" spans="1:2" x14ac:dyDescent="0.3">
      <c r="A46" s="7" t="s">
        <v>44</v>
      </c>
      <c r="B46" s="9" t="s">
        <v>728</v>
      </c>
    </row>
    <row r="47" spans="1:2" x14ac:dyDescent="0.3">
      <c r="A47" s="7" t="s">
        <v>45</v>
      </c>
      <c r="B47" s="9" t="s">
        <v>729</v>
      </c>
    </row>
    <row r="48" spans="1:2" x14ac:dyDescent="0.3">
      <c r="A48" s="7" t="s">
        <v>46</v>
      </c>
      <c r="B48" s="9" t="s">
        <v>730</v>
      </c>
    </row>
    <row r="49" spans="1:2" x14ac:dyDescent="0.3">
      <c r="A49" s="7" t="s">
        <v>47</v>
      </c>
      <c r="B49" s="9" t="s">
        <v>731</v>
      </c>
    </row>
    <row r="50" spans="1:2" x14ac:dyDescent="0.3">
      <c r="A50" s="8" t="s">
        <v>48</v>
      </c>
      <c r="B50" s="9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short_colname_data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Krzysztof Piotrowski</cp:lastModifiedBy>
  <cp:revision/>
  <dcterms:created xsi:type="dcterms:W3CDTF">2025-07-14T03:55:54Z</dcterms:created>
  <dcterms:modified xsi:type="dcterms:W3CDTF">2025-10-09T19:13:30Z</dcterms:modified>
  <cp:category/>
  <cp:contentStatus/>
</cp:coreProperties>
</file>